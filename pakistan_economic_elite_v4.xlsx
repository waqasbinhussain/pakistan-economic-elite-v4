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sheets/sheet20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Lender Heatmap" sheetId="2" state="visible" r:id="rId2"/>
    <sheet xmlns:r="http://schemas.openxmlformats.org/officeDocument/2006/relationships" name="Debt Sustainability" sheetId="3" state="visible" r:id="rId3"/>
    <sheet xmlns:r="http://schemas.openxmlformats.org/officeDocument/2006/relationships" name="Scenario Simulator" sheetId="4" state="visible" r:id="rId4"/>
    <sheet xmlns:r="http://schemas.openxmlformats.org/officeDocument/2006/relationships" name="Power Sector" sheetId="5" state="visible" r:id="rId5"/>
    <sheet xmlns:r="http://schemas.openxmlformats.org/officeDocument/2006/relationships" name="Election Analysis" sheetId="6" state="visible" r:id="rId6"/>
    <sheet xmlns:r="http://schemas.openxmlformats.org/officeDocument/2006/relationships" name="Provincial Trends" sheetId="7" state="visible" r:id="rId7"/>
    <sheet xmlns:r="http://schemas.openxmlformats.org/officeDocument/2006/relationships" name="PM Scorecards" sheetId="8" state="visible" r:id="rId8"/>
    <sheet xmlns:r="http://schemas.openxmlformats.org/officeDocument/2006/relationships" name="Political Dashboard" sheetId="9" state="visible" r:id="rId9"/>
    <sheet xmlns:r="http://schemas.openxmlformats.org/officeDocument/2006/relationships" name="README" sheetId="10" state="visible" r:id="rId10"/>
    <sheet xmlns:r="http://schemas.openxmlformats.org/officeDocument/2006/relationships" name="Yearly Macro" sheetId="11" state="visible" r:id="rId11"/>
    <sheet xmlns:r="http://schemas.openxmlformats.org/officeDocument/2006/relationships" name="Major Loan Programs" sheetId="12" state="visible" r:id="rId12"/>
    <sheet xmlns:r="http://schemas.openxmlformats.org/officeDocument/2006/relationships" name="External Flows" sheetId="13" state="visible" r:id="rId13"/>
    <sheet xmlns:r="http://schemas.openxmlformats.org/officeDocument/2006/relationships" name="Debt Servicing" sheetId="14" state="visible" r:id="rId14"/>
    <sheet xmlns:r="http://schemas.openxmlformats.org/officeDocument/2006/relationships" name="Tenure Summary" sheetId="15" state="visible" r:id="rId15"/>
    <sheet xmlns:r="http://schemas.openxmlformats.org/officeDocument/2006/relationships" name="Provincial Debt" sheetId="16" state="visible" r:id="rId16"/>
    <sheet xmlns:r="http://schemas.openxmlformats.org/officeDocument/2006/relationships" name="Charts" sheetId="17" state="visible" r:id="rId17"/>
    <sheet xmlns:r="http://schemas.openxmlformats.org/officeDocument/2006/relationships" name="Nawaz" sheetId="18" state="visible" r:id="rId18"/>
    <sheet xmlns:r="http://schemas.openxmlformats.org/officeDocument/2006/relationships" name="Imran" sheetId="19" state="visible" r:id="rId19"/>
    <sheet xmlns:r="http://schemas.openxmlformats.org/officeDocument/2006/relationships" name="Shehbaz" sheetId="20" state="visible" r:id="rId20"/>
  </sheets>
  <definedNames>
    <definedName name="_xlnm.Print_Area" localSheetId="0">'Executive Summary'!$A$1:$H$29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#,##0;[Red](#,##0);-"/>
    <numFmt numFmtId="166" formatCode="0.0;[Red](0.0);-"/>
    <numFmt numFmtId="167" formatCode="0.000"/>
    <numFmt numFmtId="168" formatCode="#,##0.0;[Red](#,##0.0);-"/>
    <numFmt numFmtId="169" formatCode="0.0%"/>
  </numFmts>
  <fonts count="12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color rgb="000000FF"/>
    </font>
    <font>
      <color rgb="00808080"/>
    </font>
    <font>
      <color rgb="00008000"/>
    </font>
    <font>
      <b val="1"/>
      <color rgb="00000000"/>
    </font>
    <font>
      <b val="1"/>
      <sz val="14"/>
    </font>
    <font>
      <color rgb="00000000"/>
    </font>
    <font>
      <b val="1"/>
      <sz val="12"/>
    </font>
    <font>
      <b val="1"/>
      <sz val="15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bottom style="thin">
        <color rgb="00808080"/>
      </bottom>
    </border>
    <border>
      <top style="thin">
        <color rgb="00808080"/>
      </top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2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4" borderId="0" pivotButton="0" quotePrefix="0" xfId="0"/>
    <xf numFmtId="167" fontId="4" fillId="0" borderId="0" pivotButton="0" quotePrefix="0" xfId="0"/>
    <xf numFmtId="164" fontId="7" fillId="0" borderId="1" pivotButton="0" quotePrefix="0" xfId="0"/>
    <xf numFmtId="165" fontId="2" fillId="0" borderId="1" pivotButton="0" quotePrefix="0" xfId="0"/>
    <xf numFmtId="2" fontId="0" fillId="0" borderId="0" pivotButton="0" quotePrefix="0" xfId="0"/>
    <xf numFmtId="165" fontId="0" fillId="0" borderId="0" pivotButton="0" quotePrefix="0" xfId="0"/>
    <xf numFmtId="0" fontId="9" fillId="2" borderId="0" applyAlignment="1" pivotButton="0" quotePrefix="0" xfId="0">
      <alignment wrapText="1"/>
    </xf>
    <xf numFmtId="0" fontId="3" fillId="3" borderId="0" pivotButton="0" quotePrefix="0" xfId="0"/>
    <xf numFmtId="166" fontId="2" fillId="0" borderId="0" pivotButton="0" quotePrefix="0" xfId="0"/>
    <xf numFmtId="0" fontId="2" fillId="5" borderId="0" pivotButton="0" quotePrefix="0" xfId="0"/>
    <xf numFmtId="165" fontId="2" fillId="0" borderId="0" pivotButton="0" quotePrefix="0" xfId="0"/>
    <xf numFmtId="1" fontId="2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8" fillId="0" borderId="0" pivotButton="0" quotePrefix="0" xfId="0"/>
    <xf numFmtId="166" fontId="2" fillId="0" borderId="1" pivotButton="0" quotePrefix="0" xfId="0"/>
    <xf numFmtId="0" fontId="10" fillId="5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165" fontId="10" fillId="7" borderId="0" applyAlignment="1" pivotButton="0" quotePrefix="0" xfId="0">
      <alignment horizontal="center"/>
    </xf>
    <xf numFmtId="0" fontId="2" fillId="7" borderId="0" pivotButton="0" quotePrefix="0" xfId="0"/>
    <xf numFmtId="166" fontId="9" fillId="0" borderId="0" pivotButton="0" quotePrefix="0" xfId="0"/>
    <xf numFmtId="0" fontId="2" fillId="2" borderId="0" pivotButton="0" quotePrefix="0" xfId="0"/>
    <xf numFmtId="0" fontId="2" fillId="6" borderId="0" pivotButton="0" quotePrefix="0" xfId="0"/>
    <xf numFmtId="0" fontId="0" fillId="7" borderId="0" applyAlignment="1" pivotButton="0" quotePrefix="0" xfId="0">
      <alignment wrapText="1"/>
    </xf>
    <xf numFmtId="0" fontId="11" fillId="0" borderId="0" pivotButton="0" quotePrefix="0" xfId="0"/>
    <xf numFmtId="0" fontId="3" fillId="3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0" fillId="2" borderId="0" applyAlignment="1" pivotButton="0" quotePrefix="0" xfId="0">
      <alignment vertical="top" wrapText="1"/>
    </xf>
    <xf numFmtId="0" fontId="0" fillId="5" borderId="0" pivotButton="0" quotePrefix="0" xfId="0"/>
    <xf numFmtId="0" fontId="0" fillId="2" borderId="0" pivotButton="0" quotePrefix="0" xfId="0"/>
    <xf numFmtId="0" fontId="0" fillId="6" borderId="0" pivotButton="0" quotePrefix="0" xfId="0"/>
    <xf numFmtId="165" fontId="2" fillId="0" borderId="2" pivotButton="0" quotePrefix="0" xfId="0"/>
    <xf numFmtId="0" fontId="4" fillId="2" borderId="0" pivotButton="0" quotePrefix="0" xfId="0"/>
    <xf numFmtId="169" fontId="4" fillId="2" borderId="0" pivotButton="0" quotePrefix="0" xfId="0"/>
    <xf numFmtId="169" fontId="0" fillId="0" borderId="0" pivotButton="0" quotePrefix="0" xfId="0"/>
    <xf numFmtId="169" fontId="2" fillId="0" borderId="0" pivotButton="0" quotePrefix="0" xfId="0"/>
    <xf numFmtId="168" fontId="4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GDP Growth by PM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Summary'!$B$8:$D$8</f>
            </numRef>
          </cat>
          <val>
            <numRef>
              <f>'Executive Summary'!$C$9:$D$9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Debt Increase by PM (PKR bn)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Summary'!$B$8:$D$8</f>
            </numRef>
          </cat>
          <val>
            <numRef>
              <f>'Executive Summary'!$C$11:$D$11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PKR 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Selected lender exposure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'Lender Heatmap'!B3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'Lender Heatmap'!$A$4:$A$8</f>
            </numRef>
          </cat>
          <val>
            <numRef>
              <f>'Lender Heatmap'!$B$4:$B$8</f>
            </numRef>
          </val>
        </ser>
        <ser>
          <idx val="1"/>
          <order val="1"/>
          <tx>
            <strRef>
              <f>'Lender Heatmap'!C3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'Lender Heatmap'!$A$4:$A$8</f>
            </numRef>
          </cat>
          <val>
            <numRef>
              <f>'Lender Heatmap'!$C$4:$C$8</f>
            </numRef>
          </val>
        </ser>
        <ser>
          <idx val="2"/>
          <order val="2"/>
          <tx>
            <strRef>
              <f>'Lender Heatmap'!D3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'Lender Heatmap'!$A$4:$A$8</f>
            </numRef>
          </cat>
          <val>
            <numRef>
              <f>'Lender Heatmap'!$D$4:$D$8</f>
            </numRef>
          </val>
        </ser>
        <ser>
          <idx val="3"/>
          <order val="3"/>
          <tx>
            <strRef>
              <f>'Lender Heatmap'!E3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'Lender Heatmap'!$A$4:$A$8</f>
            </numRef>
          </cat>
          <val>
            <numRef>
              <f>'Lender Heatmap'!$E$4:$E$8</f>
            </numRef>
          </val>
        </ser>
        <ser>
          <idx val="4"/>
          <order val="4"/>
          <tx>
            <strRef>
              <f>'Lender Heatmap'!F3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'Lender Heatmap'!$A$4:$A$8</f>
            </numRef>
          </cat>
          <val>
            <numRef>
              <f>'Lender Heatmap'!$F$4:$F$8</f>
            </numRef>
          </val>
        </ser>
        <ser>
          <idx val="5"/>
          <order val="5"/>
          <tx>
            <strRef>
              <f>'Lender Heatmap'!G3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'Lender Heatmap'!$A$4:$A$8</f>
            </numRef>
          </cat>
          <val>
            <numRef>
              <f>'Lender Heatmap'!$G$4:$G$8</f>
            </numRef>
          </val>
        </ser>
        <ser>
          <idx val="6"/>
          <order val="6"/>
          <tx>
            <strRef>
              <f>'Lender Heatmap'!H3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'Lender Heatmap'!$A$4:$A$8</f>
            </numRef>
          </cat>
          <val>
            <numRef>
              <f>'Lender Heatmap'!$H$4:$H$8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FY snapshot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Projected Debt / GDP</a:t>
            </a:r>
          </a:p>
        </rich>
      </tx>
    </title>
    <plotArea>
      <lineChart>
        <grouping val="standard"/>
        <ser>
          <idx val="0"/>
          <order val="0"/>
          <tx>
            <strRef>
              <f>'Debt Sustainability'!I18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'Debt Sustainability'!$A$19:$A$23</f>
            </numRef>
          </cat>
          <val>
            <numRef>
              <f>'Debt Sustainability'!$I$19:$I$23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Projected Interest /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'Debt Sustainability'!K18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'Debt Sustainability'!$A$19:$A$23</f>
            </numRef>
          </cat>
          <val>
            <numRef>
              <f>'Debt Sustainability'!$K$19:$K$23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impact on debt / GDP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 Simulator'!B15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Simulator'!$B$10:$E$10</f>
            </numRef>
          </cat>
          <val>
            <numRef>
              <f>'Scenario Simulator'!$C$15:$E$15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Circular debt markers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 Sector'!B3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 Sector'!$A$4:$A$7</f>
            </numRef>
          </cat>
          <val>
            <numRef>
              <f>'Power Sector'!$B$4:$B$7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PKR 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 growth vs debt growth</a:t>
            </a:r>
          </a:p>
        </rich>
      </tx>
    </title>
    <plotArea>
      <lineChart>
        <grouping val="standard"/>
        <ser>
          <idx val="0"/>
          <order val="0"/>
          <tx>
            <strRef>
              <f>'Election Analysis'!D3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'Election Analysis'!$A$4:$A$15</f>
            </numRef>
          </cat>
          <val>
            <numRef>
              <f>'Election Analysis'!$D$4:$D$15</f>
            </numRef>
          </val>
        </ser>
        <ser>
          <idx val="1"/>
          <order val="1"/>
          <tx>
            <strRef>
              <f>'Election Analysis'!E3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'Election Analysis'!$A$4:$A$15</f>
            </numRef>
          </cat>
          <val>
            <numRef>
              <f>'Election Analysis'!$E$4:$E$15</f>
            </numRef>
          </val>
        </ser>
        <ser>
          <idx val="2"/>
          <order val="2"/>
          <tx>
            <strRef>
              <f>'Election Analysis'!F3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'Election Analysis'!$A$4:$A$15</f>
            </numRef>
          </cat>
          <val>
            <numRef>
              <f>'Election Analysis'!$F$4:$F$15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Punjab vs Sindh (directional official snapshots)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'Provincial Trends'!C3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'Provincial Trends'!$A$4:$A$9</f>
            </numRef>
          </cat>
          <val>
            <numRef>
              <f>'Provincial Trends'!$C$4:$C$9</f>
            </numRef>
          </val>
        </ser>
        <ser>
          <idx val="1"/>
          <order val="1"/>
          <tx>
            <strRef>
              <f>'Provincial Trends'!D3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'Provincial Trends'!$A$4:$A$9</f>
            </numRef>
          </cat>
          <val>
            <numRef>
              <f>'Provincial Trends'!$D$4:$D$9</f>
            </numRef>
          </val>
        </ser>
        <ser>
          <idx val="2"/>
          <order val="2"/>
          <tx>
            <strRef>
              <f>'Provincial Trends'!E3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'Provincial Trends'!$A$4:$A$9</f>
            </numRef>
          </cat>
          <val>
            <numRef>
              <f>'Provincial Trends'!$E$4:$E$9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(read notes)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GDP Growth by PM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'Political 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'Political Dashboard'!$B$5:$D$5</f>
            </numRef>
          </cat>
          <val>
            <numRef>
              <f>'Political Dashboard'!$C$6:$D$6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Debt Increase by PM (PKR bn)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'Political 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'Political Dashboard'!$B$5:$D$5</f>
            </numRef>
          </cat>
          <val>
            <numRef>
              <f>'Political Dashboard'!$C$8:$D$8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PKR 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Debt Trajectory by PM (comparable ranges)</a:t>
            </a:r>
          </a:p>
        </rich>
      </tx>
    </title>
    <plotArea>
      <lineChart>
        <grouping val="standard"/>
        <ser>
          <idx val="0"/>
          <order val="0"/>
          <tx>
            <strRef>
              <f>'Yearly Macro'!E1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 Macro'!$A$2:$A$13</f>
            </numRef>
          </cat>
          <val>
            <numRef>
              <f>'Yearly Macro'!$E$2:$E$13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PKR 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Public Debt Trend (PKR bn)</a:t>
            </a:r>
          </a:p>
        </rich>
      </tx>
    </title>
    <plotArea>
      <lineChart>
        <grouping val="standard"/>
        <ser>
          <idx val="0"/>
          <order val="0"/>
          <tx>
            <strRef>
              <f>'Yearly Macro'!E1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 Macro'!$A$2:$A$13</f>
            </numRef>
          </cat>
          <val>
            <numRef>
              <f>'Yearly Macro'!$E$2:$E$13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PKR 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GDP Growth by FY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'Yearly Macro'!C1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'Yearly Macro'!$A$2:$A$13</f>
            </numRef>
          </cat>
          <val>
            <numRef>
              <f>'Yearly Macro'!$C$2:$C$13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Major IMF Program Commitments (USD bn, approx.)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'Major Loan Programs'!E1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'Major Loan Programs'!$B$2:$B$5</f>
            </numRef>
          </cat>
          <val>
            <numRef>
              <f>'Major Loan Programs'!$E$2:$E$5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Nawaz: Debt trend</a:t>
            </a:r>
          </a:p>
        </rich>
      </tx>
    </title>
    <plotArea>
      <lineChart>
        <grouping val="standard"/>
        <ser>
          <idx val="0"/>
          <order val="0"/>
          <tx>
            <strRef>
              <f>'Nawaz'!D4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'Nawaz'!$A$5:$A$9</f>
            </numRef>
          </cat>
          <val>
            <numRef>
              <f>'Nawaz'!$D$5:$D$9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PKR 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Imran: Debt trend</a:t>
            </a:r>
          </a:p>
        </rich>
      </tx>
    </title>
    <plotArea>
      <lineChart>
        <grouping val="standard"/>
        <ser>
          <idx val="0"/>
          <order val="0"/>
          <tx>
            <strRef>
              <f>'Imran'!D4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'Imran'!$A$5:$A$8</f>
            </numRef>
          </cat>
          <val>
            <numRef>
              <f>'Imran'!$D$5:$D$8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PKR 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Shehbaz: Debt 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'Shehbaz'!D4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'Shehbaz'!$A$5:$A$7</f>
            </numRef>
          </cat>
          <val>
            <numRef>
              <f>'Shehbaz'!$D$5:$D$7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PKR 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Base debt stock from Annual Debt Review FY2025.</t>
      </text>
    </comment>
    <comment ref="B6" authorId="0" shapeId="0">
      <text>
        <t>Base GDP from Annual Debt Review FY2025.</t>
      </text>
    </comment>
    <comment ref="B8" authorId="0" shapeId="0">
      <text>
        <t>FY25 interest expense from Annual Debt Review FY2025.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7" authorId="0" shapeId="0">
      <text>
        <t>Linked formulas allow quick updates if the tenure sheets are changed later.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B6" authorId="0" shapeId="0">
      <text>
        <t>Formula-linked from Nawaz sheet KPI block.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C2" authorId="0" shapeId="0">
      <text>
        <t>FY2013-14 GDP growth from Finance Division Year Book 2013-14 / Year Book 2014-15 references.</t>
      </text>
    </comment>
    <comment ref="E5" authorId="0" shapeId="0">
      <text>
        <t>FY2016-17 public debt stock from Debt Policy Statement 2017-18.</t>
      </text>
    </comment>
    <comment ref="E12" authorId="0" shapeId="0">
      <text>
        <t>FY2023-24 debt stock aligned to official FY24 debt review series; validate against final SBP summary before publication.</t>
      </text>
    </comment>
    <comment ref="E13" authorId="0" shapeId="0">
      <text>
        <t>FY2024-25 public debt stock from Annual Debt Review FY2025.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324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324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64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11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9</col>
      <colOff>0</colOff>
      <row>11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9</col>
      <colOff>0</colOff>
      <row>11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8" customWidth="1" min="5" max="5"/>
    <col width="4" customWidth="1" min="6" max="6"/>
    <col width="18" customWidth="1" min="7" max="7"/>
    <col width="42" customWidth="1" min="8" max="8"/>
  </cols>
  <sheetData>
    <row r="1">
      <c r="A1" s="1" t="inlineStr">
        <is>
          <t>Pakistan Economic &amp; Debt Review (2013–2025) — Executive Summary</t>
        </is>
      </c>
    </row>
    <row r="2">
      <c r="A2" s="4" t="inlineStr">
        <is>
          <t>One-page print summary</t>
        </is>
      </c>
      <c r="B2" s="17" t="inlineStr">
        <is>
          <t>Built from the workbook’s Yearly Macro, Tenure, Loan Program, Debt Servicing, and Provincial sheets. Intended for executive comparison and briefing.</t>
        </is>
      </c>
    </row>
    <row r="4">
      <c r="A4" s="18" t="inlineStr">
        <is>
          <t>Best average growth</t>
        </is>
      </c>
      <c r="C4" s="18" t="inlineStr">
        <is>
          <t>Largest debt increase</t>
        </is>
      </c>
      <c r="E4" s="18" t="inlineStr">
        <is>
          <t>Recent stabilization winner</t>
        </is>
      </c>
      <c r="G4" s="18" t="inlineStr">
        <is>
          <t>Public debt FY2024-25 (PKR bn)</t>
        </is>
      </c>
    </row>
    <row r="5">
      <c r="A5" s="27">
        <f>'Political Dashboard'!E6</f>
        <v/>
      </c>
      <c r="C5" s="28">
        <f>'Political Dashboard'!E8</f>
        <v/>
      </c>
      <c r="E5" s="29" t="inlineStr">
        <is>
          <t>"Shehbaz Sharif"</t>
        </is>
      </c>
      <c r="G5" s="30">
        <f>'Yearly Macro'!E13</f>
        <v/>
      </c>
    </row>
    <row r="8">
      <c r="A8" s="4" t="inlineStr">
        <is>
          <t>Metric</t>
        </is>
      </c>
      <c r="B8" s="4" t="inlineStr">
        <is>
          <t>Nawaz / PML-N</t>
        </is>
      </c>
      <c r="C8" s="4" t="inlineStr">
        <is>
          <t>Imran Khan</t>
        </is>
      </c>
      <c r="D8" s="4" t="inlineStr">
        <is>
          <t>Shehbaz Sharif</t>
        </is>
      </c>
      <c r="E8" s="4" t="inlineStr">
        <is>
          <t>Verdict</t>
        </is>
      </c>
      <c r="G8" s="18" t="inlineStr">
        <is>
          <t>Color-coded verdicts</t>
        </is>
      </c>
    </row>
    <row r="9">
      <c r="A9" s="31" t="inlineStr">
        <is>
          <t>Average GDP Growth (%)</t>
        </is>
      </c>
      <c r="B9" s="32">
        <f>'Political Dashboard'!B6</f>
        <v/>
      </c>
      <c r="C9" s="32">
        <f>'Political Dashboard'!C6</f>
        <v/>
      </c>
      <c r="D9" s="32">
        <f>'Political Dashboard'!D6</f>
        <v/>
      </c>
      <c r="E9" s="20" t="inlineStr">
        <is>
          <t>Best: Nawaz</t>
        </is>
      </c>
      <c r="G9" s="20" t="inlineStr">
        <is>
          <t>Green</t>
        </is>
      </c>
      <c r="H9" t="inlineStr">
        <is>
          <t>Strongest score on the metric</t>
        </is>
      </c>
    </row>
    <row r="10">
      <c r="A10" s="31" t="inlineStr">
        <is>
          <t>Average Inflation (%)</t>
        </is>
      </c>
      <c r="B10" s="32">
        <f>'Political Dashboard'!B7</f>
        <v/>
      </c>
      <c r="C10" s="32">
        <f>'Political Dashboard'!C7</f>
        <v/>
      </c>
      <c r="D10" s="32">
        <f>'Political Dashboard'!D7</f>
        <v/>
      </c>
      <c r="E10" s="33" t="inlineStr">
        <is>
          <t>Lowest is better</t>
        </is>
      </c>
      <c r="G10" s="33" t="inlineStr">
        <is>
          <t>Yellow</t>
        </is>
      </c>
      <c r="H10" t="inlineStr">
        <is>
          <t>Mixed / stabilization / context needed</t>
        </is>
      </c>
    </row>
    <row r="11">
      <c r="A11" s="31" t="inlineStr">
        <is>
          <t>Debt Increase (PKR bn)</t>
        </is>
      </c>
      <c r="B11" s="32">
        <f>'Political Dashboard'!B8</f>
        <v/>
      </c>
      <c r="C11" s="32">
        <f>'Political Dashboard'!C8</f>
        <v/>
      </c>
      <c r="D11" s="32">
        <f>'Political Dashboard'!D8</f>
        <v/>
      </c>
      <c r="E11" s="34" t="inlineStr">
        <is>
          <t>Highest: Shehbaz</t>
        </is>
      </c>
      <c r="G11" s="34" t="inlineStr">
        <is>
          <t>Red</t>
        </is>
      </c>
      <c r="H11" t="inlineStr">
        <is>
          <t>Weakest or most concerning score on the metric</t>
        </is>
      </c>
    </row>
    <row r="12">
      <c r="A12" s="31" t="inlineStr">
        <is>
          <t>Start Debt/GDP (%)</t>
        </is>
      </c>
      <c r="B12" s="32">
        <f>'Political Dashboard'!B9</f>
        <v/>
      </c>
      <c r="C12" s="32">
        <f>'Political Dashboard'!C9</f>
        <v/>
      </c>
      <c r="D12" s="32">
        <f>'Political Dashboard'!D9</f>
        <v/>
      </c>
      <c r="E12" s="31" t="inlineStr">
        <is>
          <t>Context only</t>
        </is>
      </c>
    </row>
    <row r="13">
      <c r="A13" s="31" t="inlineStr">
        <is>
          <t>End Debt/GDP (%)</t>
        </is>
      </c>
      <c r="B13" s="32">
        <f>'Political Dashboard'!B10</f>
        <v/>
      </c>
      <c r="C13" s="32">
        <f>'Political Dashboard'!C10</f>
        <v/>
      </c>
      <c r="D13" s="32">
        <f>'Political Dashboard'!D10</f>
        <v/>
      </c>
      <c r="E13" s="31" t="inlineStr">
        <is>
          <t>Context only</t>
        </is>
      </c>
      <c r="G13" s="18" t="inlineStr">
        <is>
          <t>Executive takeaways</t>
        </is>
      </c>
    </row>
    <row r="14">
      <c r="G14" t="inlineStr">
        <is>
          <t>•</t>
        </is>
      </c>
      <c r="H14" s="23" t="inlineStr">
        <is>
          <t>Nawaz era had the strongest average growth in the series.</t>
        </is>
      </c>
    </row>
    <row r="15">
      <c r="A15" s="18" t="inlineStr">
        <is>
          <t>Source note</t>
        </is>
      </c>
      <c r="B15" s="35" t="inlineStr">
        <is>
          <t>See Yearly Macro, Major Loan Programs, External Flows, Debt Servicing, Provincial Debt, and Political Dashboard sheets for source URLs and detailed assumptions.</t>
        </is>
      </c>
    </row>
    <row r="16">
      <c r="G16" t="inlineStr">
        <is>
          <t>•</t>
        </is>
      </c>
      <c r="H16" s="23" t="inlineStr">
        <is>
          <t>Shehbaz era was dominated by stabilization; debt still rose sharply.</t>
        </is>
      </c>
    </row>
    <row r="17">
      <c r="G17" t="inlineStr">
        <is>
          <t>•</t>
        </is>
      </c>
      <c r="H17" s="23" t="inlineStr">
        <is>
          <t>Pakistan’s debt problem is structural: deficit financing, servicing, rollover, and FX effects.</t>
        </is>
      </c>
    </row>
  </sheetData>
  <mergeCells count="13">
    <mergeCell ref="A4:B4"/>
    <mergeCell ref="G4:H4"/>
    <mergeCell ref="E4:F4"/>
    <mergeCell ref="C5:D5"/>
    <mergeCell ref="A5:B5"/>
    <mergeCell ref="G5:H5"/>
    <mergeCell ref="E5:F5"/>
    <mergeCell ref="B2:H2"/>
    <mergeCell ref="B15:H15"/>
    <mergeCell ref="A1:H1"/>
    <mergeCell ref="G8:H8"/>
    <mergeCell ref="G13:H13"/>
    <mergeCell ref="C4:D4"/>
  </mergeCells>
  <pageMargins left="0.25" right="0.25" top="0.4" bottom="0.4" header="0.5" footer="0.5"/>
  <pageSetup orientation="landscape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70" customWidth="1" min="9" max="9"/>
  </cols>
  <sheetData>
    <row r="1">
      <c r="A1" s="36" t="inlineStr">
        <is>
          <t>Lender Heatmap (selected official disbursement snapshots, USD mn)</t>
        </is>
      </c>
    </row>
    <row r="2">
      <c r="A2" s="42" t="inlineStr">
        <is>
          <t>Caveat: this heatmap uses the best official snapshots surfaced in the workbook/web research. Some years have partial lender detail (especially China/WB/ADB in FY2021-22 and FY2024-25). Blank cells mean detail was not surfaced cleanly in the current source set, not necessarily zero.</t>
        </is>
      </c>
    </row>
    <row r="3">
      <c r="A3" s="4" t="inlineStr">
        <is>
          <t>FY snapshot</t>
        </is>
      </c>
      <c r="B3" s="4" t="inlineStr">
        <is>
          <t>IMF</t>
        </is>
      </c>
      <c r="C3" s="4" t="inlineStr">
        <is>
          <t>World Bank</t>
        </is>
      </c>
      <c r="D3" s="4" t="inlineStr">
        <is>
          <t>ADB</t>
        </is>
      </c>
      <c r="E3" s="4" t="inlineStr">
        <is>
          <t>China</t>
        </is>
      </c>
      <c r="F3" s="4" t="inlineStr">
        <is>
          <t>Gulf</t>
        </is>
      </c>
      <c r="G3" s="4" t="inlineStr">
        <is>
          <t>Commercial</t>
        </is>
      </c>
      <c r="H3" s="4" t="inlineStr">
        <is>
          <t>Bonds / Sukuk</t>
        </is>
      </c>
      <c r="I3" s="4" t="inlineStr">
        <is>
          <t>Source URL</t>
        </is>
      </c>
    </row>
    <row r="4">
      <c r="A4" t="inlineStr">
        <is>
          <t>FY2016-17</t>
        </is>
      </c>
      <c r="B4" s="7" t="n">
        <v>102</v>
      </c>
      <c r="C4" s="7" t="n">
        <v>904</v>
      </c>
      <c r="D4" s="7" t="n">
        <v>1495</v>
      </c>
      <c r="E4" s="7" t="n">
        <v>3955</v>
      </c>
      <c r="F4" s="7" t="n">
        <v>514</v>
      </c>
      <c r="G4" s="7" t="n">
        <v>4370</v>
      </c>
      <c r="H4" s="7" t="n">
        <v>1000</v>
      </c>
      <c r="I4" s="10" t="inlineStr">
        <is>
          <t>https://www.finance.gov.pk/publications/DPS_2017_18.pdf</t>
        </is>
      </c>
    </row>
    <row r="5">
      <c r="A5" t="inlineStr">
        <is>
          <t>FY2021-22</t>
        </is>
      </c>
      <c r="B5" s="7" t="n">
        <v>1053</v>
      </c>
      <c r="C5" s="7" t="n"/>
      <c r="D5" s="7" t="n"/>
      <c r="E5" s="7" t="n"/>
      <c r="F5" s="7" t="n">
        <v>3000</v>
      </c>
      <c r="G5" s="7" t="n">
        <v>2623</v>
      </c>
      <c r="H5" s="7" t="n">
        <v>2000</v>
      </c>
      <c r="I5" s="10" t="inlineStr">
        <is>
          <t>https://www.finance.gov.pk/survey/chapter_22/Economic%20Survey_2021-22.pdf</t>
        </is>
      </c>
    </row>
    <row r="6">
      <c r="A6" t="inlineStr">
        <is>
          <t>FY2022-23</t>
        </is>
      </c>
      <c r="B6" s="7" t="n">
        <v>1166</v>
      </c>
      <c r="C6" s="7" t="n">
        <v>1218</v>
      </c>
      <c r="D6" s="7" t="n">
        <v>1939</v>
      </c>
      <c r="E6" s="7" t="n"/>
      <c r="F6" s="7" t="n">
        <v>883</v>
      </c>
      <c r="G6" s="7" t="n">
        <v>900</v>
      </c>
      <c r="H6" s="7" t="n">
        <v>0</v>
      </c>
      <c r="I6" s="10" t="inlineStr">
        <is>
          <t>https://www.finance.gov.pk/survey/chapters_23/Economic_Survey_2022_23.pdf</t>
        </is>
      </c>
    </row>
    <row r="7">
      <c r="A7" t="inlineStr">
        <is>
          <t>FY2023-24</t>
        </is>
      </c>
      <c r="B7" s="7" t="n">
        <v>1200</v>
      </c>
      <c r="C7" s="7" t="n">
        <v>2200</v>
      </c>
      <c r="D7" s="7" t="n">
        <v>1300</v>
      </c>
      <c r="E7" s="7" t="n"/>
      <c r="F7" s="7" t="n">
        <v>2000</v>
      </c>
      <c r="G7" s="7" t="n"/>
      <c r="H7" s="7" t="n"/>
      <c r="I7" s="10" t="inlineStr">
        <is>
          <t>https://www.finance.gov.pk/dpco/Annual_Debt_Review_FY24.pdf</t>
        </is>
      </c>
    </row>
    <row r="8">
      <c r="A8" t="inlineStr">
        <is>
          <t>FY2024-25</t>
        </is>
      </c>
      <c r="B8" s="7" t="n">
        <v>1000</v>
      </c>
      <c r="C8" s="7" t="n"/>
      <c r="D8" s="7" t="n"/>
      <c r="E8" s="7" t="n"/>
      <c r="F8" s="7" t="n">
        <v>500</v>
      </c>
      <c r="G8" s="7" t="n">
        <v>1000</v>
      </c>
      <c r="H8" s="7" t="n">
        <v>0</v>
      </c>
      <c r="I8" s="10" t="inlineStr">
        <is>
          <t>https://www.finance.gov.pk/mefp/extended_Fund_Facility_October_2024.pdf</t>
        </is>
      </c>
    </row>
    <row r="10">
      <c r="A10" s="2" t="inlineStr">
        <is>
          <t>Average disclosed flow</t>
        </is>
      </c>
      <c r="B10" s="46">
        <f>AVERAGE(B4:B8)</f>
        <v/>
      </c>
      <c r="C10" s="46">
        <f>AVERAGE(C4:C8)</f>
        <v/>
      </c>
      <c r="D10" s="46">
        <f>AVERAGE(D4:D8)</f>
        <v/>
      </c>
      <c r="E10" s="46">
        <f>AVERAGE(E4:E8)</f>
        <v/>
      </c>
      <c r="F10" s="46">
        <f>AVERAGE(F4:F8)</f>
        <v/>
      </c>
      <c r="G10" s="46">
        <f>AVERAGE(G4:G8)</f>
        <v/>
      </c>
      <c r="H10" s="46">
        <f>AVERAGE(H4:H8)</f>
        <v/>
      </c>
    </row>
  </sheetData>
  <mergeCells count="2">
    <mergeCell ref="A1:I1"/>
    <mergeCell ref="A2:I2"/>
  </mergeCells>
  <conditionalFormatting sqref="B4:H8">
    <cfRule type="colorScale" priority="1">
      <colorScale>
        <cfvo type="num" val="0"/>
        <cfvo type="percentile" val="50"/>
        <cfvo type="max" val="4500"/>
        <color rgb="00FFF2CC"/>
        <color rgb="00D9EAF7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2" customWidth="1" min="9" max="9"/>
    <col width="14" customWidth="1" min="10" max="10"/>
    <col width="16" customWidth="1" min="11" max="11"/>
    <col width="2" customWidth="1" min="13" max="13"/>
  </cols>
  <sheetData>
    <row r="1">
      <c r="A1" s="36" t="inlineStr">
        <is>
          <t>Debt Sustainability Model (simplified projection)</t>
        </is>
      </c>
    </row>
    <row r="2">
      <c r="A2" s="42" t="inlineStr">
        <is>
          <t>This is a simplified analyst model, not an IMF DSA. Yellow cells are assumptions you can change. Formulas project debt, GDP, debt/GDP, and interest/revenue under different assumptions.</t>
        </is>
      </c>
    </row>
    <row r="4">
      <c r="A4" s="4" t="inlineStr">
        <is>
          <t>Input</t>
        </is>
      </c>
      <c r="B4" s="4" t="inlineStr">
        <is>
          <t>Value</t>
        </is>
      </c>
    </row>
    <row r="5">
      <c r="A5" s="11" t="inlineStr">
        <is>
          <t>Base Debt (PKR bn)</t>
        </is>
      </c>
      <c r="B5" s="47" t="n">
        <v>80518</v>
      </c>
    </row>
    <row r="6">
      <c r="A6" s="11" t="inlineStr">
        <is>
          <t>Base GDP (PKR bn)</t>
        </is>
      </c>
      <c r="B6" s="47" t="n">
        <v>114692</v>
      </c>
    </row>
    <row r="7">
      <c r="A7" s="11" t="inlineStr">
        <is>
          <t>External debt share (%)</t>
        </is>
      </c>
      <c r="B7" s="48" t="n">
        <v>0.325</v>
      </c>
    </row>
    <row r="8">
      <c r="A8" s="11" t="inlineStr">
        <is>
          <t>Base interest expense (PKR bn)</t>
        </is>
      </c>
      <c r="B8" s="47" t="n">
        <v>8887</v>
      </c>
    </row>
    <row r="9">
      <c r="A9" s="11" t="inlineStr">
        <is>
          <t>Revenue-to-GDP assumption (%)</t>
        </is>
      </c>
      <c r="B9" s="48" t="n">
        <v>0.15</v>
      </c>
    </row>
    <row r="10">
      <c r="A10" s="11" t="inlineStr">
        <is>
          <t>Nominal GDP growth assumption (%)</t>
        </is>
      </c>
      <c r="B10" s="48" t="n">
        <v>0.1</v>
      </c>
    </row>
    <row r="11">
      <c r="A11" s="11" t="inlineStr">
        <is>
          <t>Average effective interest rate on debt (%)</t>
        </is>
      </c>
      <c r="B11" s="48" t="n">
        <v>0.11</v>
      </c>
    </row>
    <row r="12">
      <c r="A12" s="11" t="inlineStr">
        <is>
          <t>Primary balance assumption (% GDP, surplus positive)</t>
        </is>
      </c>
      <c r="B12" s="48" t="n">
        <v>0.01</v>
      </c>
    </row>
    <row r="13">
      <c r="A13" s="11" t="inlineStr">
        <is>
          <t>Annual FX depreciation shock (%)</t>
        </is>
      </c>
      <c r="B13" s="48" t="n">
        <v>0</v>
      </c>
    </row>
    <row r="14">
      <c r="A14" s="11" t="inlineStr">
        <is>
          <t>Oil shock add-on financing need (% GDP)</t>
        </is>
      </c>
      <c r="B14" s="48" t="n">
        <v>0</v>
      </c>
    </row>
    <row r="18">
      <c r="A18" s="4" t="inlineStr">
        <is>
          <t>FY</t>
        </is>
      </c>
      <c r="B18" s="4" t="inlineStr">
        <is>
          <t>Opening Debt (PKR bn)</t>
        </is>
      </c>
      <c r="C18" s="4" t="inlineStr">
        <is>
          <t>GDP (PKR bn)</t>
        </is>
      </c>
      <c r="D18" s="4" t="inlineStr">
        <is>
          <t>Interest Expense (PKR bn)</t>
        </is>
      </c>
      <c r="E18" s="4" t="inlineStr">
        <is>
          <t>Primary Balance (PKR bn)</t>
        </is>
      </c>
      <c r="F18" s="4" t="inlineStr">
        <is>
          <t>FX Shock (PKR bn)</t>
        </is>
      </c>
      <c r="G18" s="4" t="inlineStr">
        <is>
          <t>Oil Shock Need (PKR bn)</t>
        </is>
      </c>
      <c r="H18" s="4" t="inlineStr">
        <is>
          <t>Closing Debt (PKR bn)</t>
        </is>
      </c>
      <c r="I18" s="4" t="inlineStr">
        <is>
          <t>Debt/GDP (%)</t>
        </is>
      </c>
      <c r="J18" s="4" t="inlineStr">
        <is>
          <t>Revenue (PKR bn)</t>
        </is>
      </c>
      <c r="K18" s="4" t="inlineStr">
        <is>
          <t>Interest/Revenue (%)</t>
        </is>
      </c>
    </row>
    <row r="19">
      <c r="A19" t="inlineStr">
        <is>
          <t>FY2025-26</t>
        </is>
      </c>
      <c r="B19" s="16">
        <f>B5</f>
        <v/>
      </c>
      <c r="C19" s="16">
        <f>B6*(1+$B$10)</f>
        <v/>
      </c>
      <c r="D19" s="16">
        <f>B19*$B$11</f>
        <v/>
      </c>
      <c r="E19" s="16">
        <f>C19*$B$12</f>
        <v/>
      </c>
      <c r="F19" s="16">
        <f>B19*$B$7*$B$13</f>
        <v/>
      </c>
      <c r="G19" s="16">
        <f>C19*$B$14</f>
        <v/>
      </c>
      <c r="H19" s="16">
        <f>B19+D19-E19+F19+G19</f>
        <v/>
      </c>
      <c r="I19" s="49">
        <f>H19/C19</f>
        <v/>
      </c>
      <c r="J19" s="16">
        <f>C19*$B$9</f>
        <v/>
      </c>
      <c r="K19" s="49">
        <f>D19/J19</f>
        <v/>
      </c>
    </row>
    <row r="20">
      <c r="A20" t="inlineStr">
        <is>
          <t>FY2026-27</t>
        </is>
      </c>
      <c r="B20" s="16">
        <f>H19</f>
        <v/>
      </c>
      <c r="C20" s="16">
        <f>C19*(1+$B$10)</f>
        <v/>
      </c>
      <c r="D20" s="16">
        <f>B20*$B$11</f>
        <v/>
      </c>
      <c r="E20" s="16">
        <f>C20*$B$12</f>
        <v/>
      </c>
      <c r="F20" s="16">
        <f>B20*$B$7*$B$13</f>
        <v/>
      </c>
      <c r="G20" s="16">
        <f>C20*$B$14</f>
        <v/>
      </c>
      <c r="H20" s="16">
        <f>B20+D20-E20+F20+G20</f>
        <v/>
      </c>
      <c r="I20" s="49">
        <f>H20/C20</f>
        <v/>
      </c>
      <c r="J20" s="16">
        <f>C20*$B$9</f>
        <v/>
      </c>
      <c r="K20" s="49">
        <f>D20/J20</f>
        <v/>
      </c>
    </row>
    <row r="21">
      <c r="A21" t="inlineStr">
        <is>
          <t>FY2027-28</t>
        </is>
      </c>
      <c r="B21" s="16">
        <f>H20</f>
        <v/>
      </c>
      <c r="C21" s="16">
        <f>C20*(1+$B$10)</f>
        <v/>
      </c>
      <c r="D21" s="16">
        <f>B21*$B$11</f>
        <v/>
      </c>
      <c r="E21" s="16">
        <f>C21*$B$12</f>
        <v/>
      </c>
      <c r="F21" s="16">
        <f>B21*$B$7*$B$13</f>
        <v/>
      </c>
      <c r="G21" s="16">
        <f>C21*$B$14</f>
        <v/>
      </c>
      <c r="H21" s="16">
        <f>B21+D21-E21+F21+G21</f>
        <v/>
      </c>
      <c r="I21" s="49">
        <f>H21/C21</f>
        <v/>
      </c>
      <c r="J21" s="16">
        <f>C21*$B$9</f>
        <v/>
      </c>
      <c r="K21" s="49">
        <f>D21/J21</f>
        <v/>
      </c>
    </row>
    <row r="22">
      <c r="A22" t="inlineStr">
        <is>
          <t>FY2028-29</t>
        </is>
      </c>
      <c r="B22" s="16">
        <f>H21</f>
        <v/>
      </c>
      <c r="C22" s="16">
        <f>C21*(1+$B$10)</f>
        <v/>
      </c>
      <c r="D22" s="16">
        <f>B22*$B$11</f>
        <v/>
      </c>
      <c r="E22" s="16">
        <f>C22*$B$12</f>
        <v/>
      </c>
      <c r="F22" s="16">
        <f>B22*$B$7*$B$13</f>
        <v/>
      </c>
      <c r="G22" s="16">
        <f>C22*$B$14</f>
        <v/>
      </c>
      <c r="H22" s="16">
        <f>B22+D22-E22+F22+G22</f>
        <v/>
      </c>
      <c r="I22" s="49">
        <f>H22/C22</f>
        <v/>
      </c>
      <c r="J22" s="16">
        <f>C22*$B$9</f>
        <v/>
      </c>
      <c r="K22" s="49">
        <f>D22/J22</f>
        <v/>
      </c>
    </row>
    <row r="23">
      <c r="A23" t="inlineStr">
        <is>
          <t>FY2029-30</t>
        </is>
      </c>
      <c r="B23" s="16">
        <f>H22</f>
        <v/>
      </c>
      <c r="C23" s="16">
        <f>C22*(1+$B$10)</f>
        <v/>
      </c>
      <c r="D23" s="16">
        <f>B23*$B$11</f>
        <v/>
      </c>
      <c r="E23" s="16">
        <f>C23*$B$12</f>
        <v/>
      </c>
      <c r="F23" s="16">
        <f>B23*$B$7*$B$13</f>
        <v/>
      </c>
      <c r="G23" s="16">
        <f>C23*$B$14</f>
        <v/>
      </c>
      <c r="H23" s="16">
        <f>B23+D23-E23+F23+G23</f>
        <v/>
      </c>
      <c r="I23" s="49">
        <f>H23/C23</f>
        <v/>
      </c>
      <c r="J23" s="16">
        <f>C23*$B$9</f>
        <v/>
      </c>
      <c r="K23" s="49">
        <f>D23/J23</f>
        <v/>
      </c>
    </row>
  </sheetData>
  <mergeCells count="2">
    <mergeCell ref="A1:O1"/>
    <mergeCell ref="A2:O2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2" customWidth="1" min="4" max="4"/>
    <col width="14" customWidth="1" min="5" max="5"/>
    <col width="14" customWidth="1" min="6" max="6"/>
    <col width="46" customWidth="1" min="7" max="7"/>
    <col width="22" customWidth="1" min="8" max="8"/>
  </cols>
  <sheetData>
    <row r="1">
      <c r="A1" s="36" t="inlineStr">
        <is>
          <t>Scenario Simulator</t>
        </is>
      </c>
    </row>
    <row r="2">
      <c r="A2" s="42" t="inlineStr">
        <is>
          <t>Change the scenario assumptions in columns B:E. Formulas show the immediate model impact relative to the FY2025 base. This is a simplified stress-testing tool.</t>
        </is>
      </c>
    </row>
    <row r="3">
      <c r="A3" s="4" t="inlineStr">
        <is>
          <t>Variable</t>
        </is>
      </c>
      <c r="B3" s="4" t="inlineStr">
        <is>
          <t>Base</t>
        </is>
      </c>
      <c r="C3" s="4" t="inlineStr">
        <is>
          <t>PKR devaluation +10%</t>
        </is>
      </c>
      <c r="D3" s="4" t="inlineStr">
        <is>
          <t>Oil shock</t>
        </is>
      </c>
      <c r="E3" s="4" t="inlineStr">
        <is>
          <t>Combined shock</t>
        </is>
      </c>
      <c r="F3" s="4" t="inlineStr">
        <is>
          <t>Units</t>
        </is>
      </c>
      <c r="G3" s="4" t="inlineStr">
        <is>
          <t>Definition</t>
        </is>
      </c>
      <c r="H3" s="4" t="inlineStr">
        <is>
          <t>Source / note</t>
        </is>
      </c>
    </row>
    <row r="4">
      <c r="A4" t="inlineStr">
        <is>
          <t>GDP growth shock</t>
        </is>
      </c>
      <c r="B4" s="48" t="n">
        <v>0</v>
      </c>
      <c r="C4" s="48" t="n">
        <v>0</v>
      </c>
      <c r="D4" s="48" t="n">
        <v>-0.01</v>
      </c>
      <c r="E4" s="48" t="n">
        <v>-0.01</v>
      </c>
      <c r="F4" t="inlineStr">
        <is>
          <t>%</t>
        </is>
      </c>
      <c r="G4" t="inlineStr">
        <is>
          <t>Reduction in nominal GDP growth vs base</t>
        </is>
      </c>
      <c r="H4" t="inlineStr">
        <is>
          <t>Analyst assumption</t>
        </is>
      </c>
    </row>
    <row r="5">
      <c r="A5" t="inlineStr">
        <is>
          <t>FX depreciation shock</t>
        </is>
      </c>
      <c r="B5" s="48" t="n">
        <v>0</v>
      </c>
      <c r="C5" s="48" t="n">
        <v>0.1</v>
      </c>
      <c r="D5" s="48" t="n">
        <v>0</v>
      </c>
      <c r="E5" s="48" t="n">
        <v>0.1</v>
      </c>
      <c r="F5" t="inlineStr">
        <is>
          <t>%</t>
        </is>
      </c>
      <c r="G5" t="inlineStr">
        <is>
          <t>Applied to external debt share only</t>
        </is>
      </c>
      <c r="H5" t="inlineStr">
        <is>
          <t>Analyst assumption</t>
        </is>
      </c>
    </row>
    <row r="6">
      <c r="A6" t="inlineStr">
        <is>
          <t>Oil shock financing need</t>
        </is>
      </c>
      <c r="B6" s="48" t="n">
        <v>0</v>
      </c>
      <c r="C6" s="48" t="n">
        <v>0</v>
      </c>
      <c r="D6" s="48" t="n">
        <v>0.005</v>
      </c>
      <c r="E6" s="48" t="n">
        <v>0.005</v>
      </c>
      <c r="F6" t="inlineStr">
        <is>
          <t>% GDP</t>
        </is>
      </c>
      <c r="G6" t="inlineStr">
        <is>
          <t>Additional financing need from costlier oil / subsidies / imports</t>
        </is>
      </c>
      <c r="H6" t="inlineStr">
        <is>
          <t>Analyst assumption</t>
        </is>
      </c>
    </row>
    <row r="7">
      <c r="A7" t="inlineStr">
        <is>
          <t>Interest rate shock</t>
        </is>
      </c>
      <c r="B7" s="48" t="n">
        <v>0</v>
      </c>
      <c r="C7" s="48" t="n">
        <v>0</v>
      </c>
      <c r="D7" s="48" t="n">
        <v>0.01</v>
      </c>
      <c r="E7" s="48" t="n">
        <v>0.01</v>
      </c>
      <c r="F7" t="inlineStr">
        <is>
          <t>%</t>
        </is>
      </c>
      <c r="G7" t="inlineStr">
        <is>
          <t>Increase in effective interest rate</t>
        </is>
      </c>
      <c r="H7" t="inlineStr">
        <is>
          <t>Analyst assumption</t>
        </is>
      </c>
    </row>
    <row r="10">
      <c r="A10" s="4" t="inlineStr">
        <is>
          <t>Outcome metric</t>
        </is>
      </c>
      <c r="B10" s="4" t="inlineStr">
        <is>
          <t>Base</t>
        </is>
      </c>
      <c r="C10" s="4" t="inlineStr">
        <is>
          <t>PKR devaluation +10%</t>
        </is>
      </c>
      <c r="D10" s="4" t="inlineStr">
        <is>
          <t>Oil shock</t>
        </is>
      </c>
      <c r="E10" s="4" t="inlineStr">
        <is>
          <t>Combined shock</t>
        </is>
      </c>
      <c r="F10" s="4" t="inlineStr">
        <is>
          <t>Formula logic</t>
        </is>
      </c>
    </row>
    <row r="11">
      <c r="A11" s="11" t="inlineStr">
        <is>
          <t>Debt add-on from FX shock (PKR bn)</t>
        </is>
      </c>
      <c r="B11" s="16">
        <f>'Debt Sustainability'!B5*'Debt Sustainability'!B7*B5</f>
        <v/>
      </c>
      <c r="C11" s="16">
        <f>'Debt Sustainability'!B5*'Debt Sustainability'!B7*C5</f>
        <v/>
      </c>
      <c r="D11" s="16">
        <f>'Debt Sustainability'!B5*'Debt Sustainability'!B7*D5</f>
        <v/>
      </c>
      <c r="E11" s="16">
        <f>'Debt Sustainability'!B5*'Debt Sustainability'!B7*E5</f>
        <v/>
      </c>
      <c r="F11" t="inlineStr">
        <is>
          <t>Debt * external share * FX shock</t>
        </is>
      </c>
    </row>
    <row r="12">
      <c r="A12" s="11" t="inlineStr">
        <is>
          <t>Oil-shock financing need (PKR bn)</t>
        </is>
      </c>
      <c r="B12" s="16">
        <f>'Debt Sustainability'!B6*B6</f>
        <v/>
      </c>
      <c r="C12" s="16">
        <f>'Debt Sustainability'!B6*C6</f>
        <v/>
      </c>
      <c r="D12" s="16">
        <f>'Debt Sustainability'!B6*D6</f>
        <v/>
      </c>
      <c r="E12" s="16">
        <f>'Debt Sustainability'!B6*E6</f>
        <v/>
      </c>
      <c r="F12" t="inlineStr">
        <is>
          <t>GDP * extra financing need</t>
        </is>
      </c>
    </row>
    <row r="13">
      <c r="A13" s="11" t="inlineStr">
        <is>
          <t>Interest expense after rate shock (PKR bn)</t>
        </is>
      </c>
      <c r="B13" s="16">
        <f>'Debt Sustainability'!B8*(1+B7)</f>
        <v/>
      </c>
      <c r="C13" s="16">
        <f>'Debt Sustainability'!B8*(1+C7)</f>
        <v/>
      </c>
      <c r="D13" s="16">
        <f>'Debt Sustainability'!B8*(1+D7)</f>
        <v/>
      </c>
      <c r="E13" s="16">
        <f>'Debt Sustainability'!B8*(1+E7)</f>
        <v/>
      </c>
      <c r="F13" t="inlineStr">
        <is>
          <t>Base interest * (1 + shock)</t>
        </is>
      </c>
    </row>
    <row r="14">
      <c r="A14" s="11" t="inlineStr">
        <is>
          <t>Approx. stressed debt stock (PKR bn)</t>
        </is>
      </c>
      <c r="B14" s="16">
        <f>B11+B12+'Debt Sustainability'!B5</f>
        <v/>
      </c>
      <c r="C14" s="16">
        <f>C11+C12+'Debt Sustainability'!B5</f>
        <v/>
      </c>
      <c r="D14" s="16">
        <f>D11+D12+'Debt Sustainability'!B5</f>
        <v/>
      </c>
      <c r="E14" s="16">
        <f>E11+E12+'Debt Sustainability'!B5</f>
        <v/>
      </c>
      <c r="F14" t="inlineStr">
        <is>
          <t>Base debt + FX add-on + oil financing</t>
        </is>
      </c>
    </row>
    <row r="15">
      <c r="A15" s="11" t="inlineStr">
        <is>
          <t>Approx. stressed debt/GDP (%)</t>
        </is>
      </c>
      <c r="B15" s="49">
        <f>(B14)/('Debt Sustainability'!B6*(1+'Debt Sustainability'!B10+B4))</f>
        <v/>
      </c>
      <c r="C15" s="49">
        <f>(C14)/('Debt Sustainability'!B6*(1+'Debt Sustainability'!B10+C4))</f>
        <v/>
      </c>
      <c r="D15" s="49">
        <f>(D14)/('Debt Sustainability'!B6*(1+'Debt Sustainability'!B10+D4))</f>
        <v/>
      </c>
      <c r="E15" s="49">
        <f>(E14)/('Debt Sustainability'!B6*(1+'Debt Sustainability'!B10+E4))</f>
        <v/>
      </c>
      <c r="F15" t="inlineStr">
        <is>
          <t>Stressed debt / stressed GDP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42" customWidth="1" min="4" max="4"/>
    <col width="22" customWidth="1" min="5" max="5"/>
    <col width="66" customWidth="1" min="6" max="6"/>
  </cols>
  <sheetData>
    <row r="1">
      <c r="A1" s="36" t="inlineStr">
        <is>
          <t>Power Sector Deep Dive / Circular Debt Tracking</t>
        </is>
      </c>
    </row>
    <row r="2">
      <c r="A2" s="42" t="inlineStr">
        <is>
          <t>Tracks a few headline circular-debt markers surfaced in official budget / finance / news sources. It is not a full electricity-sector financial model.</t>
        </is>
      </c>
    </row>
    <row r="3">
      <c r="A3" s="4" t="inlineStr">
        <is>
          <t>Year / marker</t>
        </is>
      </c>
      <c r="B3" s="4" t="inlineStr">
        <is>
          <t>Circular debt (PKR bn)</t>
        </is>
      </c>
      <c r="C3" s="4" t="inlineStr">
        <is>
          <t>Change vs prior marker</t>
        </is>
      </c>
      <c r="D3" s="4" t="inlineStr">
        <is>
          <t>Event / note</t>
        </is>
      </c>
      <c r="E3" s="4" t="inlineStr">
        <is>
          <t>Political context</t>
        </is>
      </c>
      <c r="F3" s="4" t="inlineStr">
        <is>
          <t>Source URL</t>
        </is>
      </c>
    </row>
    <row r="4">
      <c r="A4" t="inlineStr">
        <is>
          <t>2018</t>
        </is>
      </c>
      <c r="B4" s="16" t="n">
        <v>1148</v>
      </c>
      <c r="C4" s="16" t="n"/>
      <c r="D4" t="inlineStr">
        <is>
          <t>Budget speech says circular debt had increased to Rs 1,148 bn by 2018.</t>
        </is>
      </c>
      <c r="E4" t="inlineStr">
        <is>
          <t>End of PML-N era marker</t>
        </is>
      </c>
      <c r="F4" s="10" t="inlineStr">
        <is>
          <t>https://www.finance.gov.pk/budget/Budget_2023_24/Speech_english_2023_24.pdf</t>
        </is>
      </c>
    </row>
    <row r="5">
      <c r="A5" t="inlineStr">
        <is>
          <t>2022</t>
        </is>
      </c>
      <c r="B5" s="16" t="n">
        <v>2467</v>
      </c>
      <c r="C5" s="16">
        <f>B5-B4</f>
        <v/>
      </c>
      <c r="D5" t="inlineStr">
        <is>
          <t>In 4 PTI years it increased by Rs 1,319 bn to Rs 2,467 bn.</t>
        </is>
      </c>
      <c r="E5" t="inlineStr">
        <is>
          <t>PTI-era end marker</t>
        </is>
      </c>
      <c r="F5" s="10" t="inlineStr">
        <is>
          <t>https://www.finance.gov.pk/budget/Budget_2023_24/Speech_english_2023_24.pdf</t>
        </is>
      </c>
    </row>
    <row r="6">
      <c r="A6" t="inlineStr">
        <is>
          <t>2024</t>
        </is>
      </c>
      <c r="B6" s="16" t="n"/>
      <c r="C6" s="16" t="n"/>
      <c r="D6" t="inlineStr">
        <is>
          <t>Energy-sector reform remained a priority in IMF-linked stabilization.</t>
        </is>
      </c>
      <c r="E6" t="inlineStr">
        <is>
          <t>Post-crisis stabilization period</t>
        </is>
      </c>
      <c r="F6" s="10" t="inlineStr">
        <is>
          <t>https://www.finance.gov.pk/pr_oct_dec_2022.html</t>
        </is>
      </c>
    </row>
    <row r="7">
      <c r="A7" t="inlineStr">
        <is>
          <t>2025 bank facility</t>
        </is>
      </c>
      <c r="B7" s="16" t="n">
        <v>1275</v>
      </c>
      <c r="C7" s="16" t="n"/>
      <c r="D7" t="inlineStr">
        <is>
          <t>Islamic finance facility with 18 local banks signed to ease power-sector debt burden.</t>
        </is>
      </c>
      <c r="E7" t="inlineStr">
        <is>
          <t>Current restructuring step</t>
        </is>
      </c>
      <c r="F7" s="10" t="inlineStr">
        <is>
          <t>https://www.reuters.com/sustainability/boards-policy-regulation/pakistan-signs-45-billion-loans-with-local-banks-ease-power-sector-debt-2025-06-20/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6" customWidth="1" min="5" max="5"/>
    <col width="16" customWidth="1" min="6" max="6"/>
    <col width="48" customWidth="1" min="7" max="7"/>
    <col width="58" customWidth="1" min="8" max="8"/>
    <col width="30" customWidth="1" min="10" max="10"/>
    <col width="16" customWidth="1" min="11" max="11"/>
  </cols>
  <sheetData>
    <row r="1">
      <c r="A1" s="36" t="inlineStr">
        <is>
          <t>Election-Year Analysis / Spending vs Growth Patterns</t>
        </is>
      </c>
    </row>
    <row r="2">
      <c r="A2" s="42" t="inlineStr">
        <is>
          <t>Election linkage is simplified: FY2013-14, FY2017-18, FY2018-19, and FY2023-24 are flagged as election-linked or transition-adjacent fiscal years for pattern reading. Spending-side precision would improve further with direct budget-book extraction.</t>
        </is>
      </c>
    </row>
    <row r="3">
      <c r="A3" s="4" t="inlineStr">
        <is>
          <t>Fiscal Year</t>
        </is>
      </c>
      <c r="B3" s="4" t="inlineStr">
        <is>
          <t>Election-linked?</t>
        </is>
      </c>
      <c r="C3" s="4" t="inlineStr">
        <is>
          <t>Tenure</t>
        </is>
      </c>
      <c r="D3" s="4" t="inlineStr">
        <is>
          <t>GDP Growth (%)</t>
        </is>
      </c>
      <c r="E3" s="4" t="inlineStr">
        <is>
          <t>Public Debt (PKR bn)</t>
        </is>
      </c>
      <c r="F3" s="4" t="inlineStr">
        <is>
          <t>YoY Debt Growth (%)</t>
        </is>
      </c>
      <c r="G3" s="4" t="inlineStr">
        <is>
          <t>Comment</t>
        </is>
      </c>
      <c r="H3" s="4" t="inlineStr">
        <is>
          <t>Source URL</t>
        </is>
      </c>
      <c r="J3" s="4" t="inlineStr">
        <is>
          <t>Pattern summary</t>
        </is>
      </c>
      <c r="K3" s="4" t="inlineStr">
        <is>
          <t>Value</t>
        </is>
      </c>
    </row>
    <row r="4">
      <c r="A4" t="inlineStr">
        <is>
          <t>FY2013-14</t>
        </is>
      </c>
      <c r="B4" t="inlineStr">
        <is>
          <t>Yes</t>
        </is>
      </c>
      <c r="C4">
        <f>'Yearly Macro'!B2</f>
        <v/>
      </c>
      <c r="D4" s="49">
        <f>'Yearly Macro'!C2</f>
        <v/>
      </c>
      <c r="E4" s="16">
        <f>'Yearly Macro'!E2</f>
        <v/>
      </c>
      <c r="F4" s="49" t="n"/>
      <c r="G4" t="inlineStr">
        <is>
          <t>Election / transition-adjacent year; compare growth with debt build-up.</t>
        </is>
      </c>
      <c r="H4" s="10">
        <f>'Yearly Macro'!I2</f>
        <v/>
      </c>
      <c r="J4" s="11" t="inlineStr">
        <is>
          <t>Avg GDP growth in election-linked FYs</t>
        </is>
      </c>
      <c r="K4" s="50">
        <f>AVERAGEIF(B4:B15,"Yes",D4:D15)</f>
        <v/>
      </c>
    </row>
    <row r="5">
      <c r="A5" t="inlineStr">
        <is>
          <t>FY2014-15</t>
        </is>
      </c>
      <c r="B5" t="inlineStr">
        <is>
          <t>No</t>
        </is>
      </c>
      <c r="C5">
        <f>'Yearly Macro'!B3</f>
        <v/>
      </c>
      <c r="D5" s="49">
        <f>'Yearly Macro'!C3</f>
        <v/>
      </c>
      <c r="E5" s="16">
        <f>'Yearly Macro'!E3</f>
        <v/>
      </c>
      <c r="F5" s="49">
        <f>(E5/E4)-1</f>
        <v/>
      </c>
      <c r="G5" t="inlineStr"/>
      <c r="H5" s="10">
        <f>'Yearly Macro'!I3</f>
        <v/>
      </c>
      <c r="J5" s="11" t="inlineStr">
        <is>
          <t>Avg GDP growth in non-election FYs</t>
        </is>
      </c>
      <c r="K5" s="50">
        <f>AVERAGEIF(B4:B15,"No",D4:D15)</f>
        <v/>
      </c>
    </row>
    <row r="6">
      <c r="A6" t="inlineStr">
        <is>
          <t>FY2015-16</t>
        </is>
      </c>
      <c r="B6" t="inlineStr">
        <is>
          <t>No</t>
        </is>
      </c>
      <c r="C6">
        <f>'Yearly Macro'!B4</f>
        <v/>
      </c>
      <c r="D6" s="49">
        <f>'Yearly Macro'!C4</f>
        <v/>
      </c>
      <c r="E6" s="16">
        <f>'Yearly Macro'!E4</f>
        <v/>
      </c>
      <c r="F6" s="49">
        <f>(E6/E5)-1</f>
        <v/>
      </c>
      <c r="G6" t="inlineStr"/>
      <c r="H6" s="10">
        <f>'Yearly Macro'!I4</f>
        <v/>
      </c>
      <c r="J6" s="11" t="inlineStr">
        <is>
          <t>Avg debt growth in election-linked FYs</t>
        </is>
      </c>
      <c r="K6" s="50">
        <f>AVERAGEIF(B4:B15,"Yes",F4:F15)</f>
        <v/>
      </c>
    </row>
    <row r="7">
      <c r="A7" t="inlineStr">
        <is>
          <t>FY2016-17</t>
        </is>
      </c>
      <c r="B7" t="inlineStr">
        <is>
          <t>No</t>
        </is>
      </c>
      <c r="C7">
        <f>'Yearly Macro'!B5</f>
        <v/>
      </c>
      <c r="D7" s="49">
        <f>'Yearly Macro'!C5</f>
        <v/>
      </c>
      <c r="E7" s="16">
        <f>'Yearly Macro'!E5</f>
        <v/>
      </c>
      <c r="F7" s="49">
        <f>(E7/E6)-1</f>
        <v/>
      </c>
      <c r="G7" t="inlineStr"/>
      <c r="H7" s="10">
        <f>'Yearly Macro'!I5</f>
        <v/>
      </c>
      <c r="J7" s="11" t="inlineStr">
        <is>
          <t>Avg debt growth in non-election FYs</t>
        </is>
      </c>
      <c r="K7" s="50">
        <f>AVERAGEIF(B4:B15,"No",F4:F15)</f>
        <v/>
      </c>
    </row>
    <row r="8">
      <c r="A8" t="inlineStr">
        <is>
          <t>FY2017-18</t>
        </is>
      </c>
      <c r="B8" t="inlineStr">
        <is>
          <t>Yes</t>
        </is>
      </c>
      <c r="C8">
        <f>'Yearly Macro'!B6</f>
        <v/>
      </c>
      <c r="D8" s="49">
        <f>'Yearly Macro'!C6</f>
        <v/>
      </c>
      <c r="E8" s="16">
        <f>'Yearly Macro'!E6</f>
        <v/>
      </c>
      <c r="F8" s="49">
        <f>(E8/E7)-1</f>
        <v/>
      </c>
      <c r="G8" t="inlineStr">
        <is>
          <t>Election / transition-adjacent year; compare growth with debt build-up.</t>
        </is>
      </c>
      <c r="H8" s="10">
        <f>'Yearly Macro'!I6</f>
        <v/>
      </c>
    </row>
    <row r="9">
      <c r="A9" t="inlineStr">
        <is>
          <t>FY2018-19</t>
        </is>
      </c>
      <c r="B9" t="inlineStr">
        <is>
          <t>Yes</t>
        </is>
      </c>
      <c r="C9">
        <f>'Yearly Macro'!B7</f>
        <v/>
      </c>
      <c r="D9" s="49">
        <f>'Yearly Macro'!C7</f>
        <v/>
      </c>
      <c r="E9" s="16">
        <f>'Yearly Macro'!E7</f>
        <v/>
      </c>
      <c r="F9" s="49">
        <f>(E9/E8)-1</f>
        <v/>
      </c>
      <c r="G9" t="inlineStr">
        <is>
          <t>Election / transition-adjacent year; compare growth with debt build-up.</t>
        </is>
      </c>
      <c r="H9" s="10">
        <f>'Yearly Macro'!I7</f>
        <v/>
      </c>
    </row>
    <row r="10">
      <c r="A10" t="inlineStr">
        <is>
          <t>FY2019-20</t>
        </is>
      </c>
      <c r="B10" t="inlineStr">
        <is>
          <t>No</t>
        </is>
      </c>
      <c r="C10">
        <f>'Yearly Macro'!B8</f>
        <v/>
      </c>
      <c r="D10" s="49">
        <f>'Yearly Macro'!C8</f>
        <v/>
      </c>
      <c r="E10" s="16">
        <f>'Yearly Macro'!E8</f>
        <v/>
      </c>
      <c r="F10" s="49">
        <f>(E10/E9)-1</f>
        <v/>
      </c>
      <c r="G10" t="inlineStr"/>
      <c r="H10" s="10">
        <f>'Yearly Macro'!I8</f>
        <v/>
      </c>
    </row>
    <row r="11">
      <c r="A11" t="inlineStr">
        <is>
          <t>FY2020-21</t>
        </is>
      </c>
      <c r="B11" t="inlineStr">
        <is>
          <t>No</t>
        </is>
      </c>
      <c r="C11">
        <f>'Yearly Macro'!B9</f>
        <v/>
      </c>
      <c r="D11" s="49">
        <f>'Yearly Macro'!C9</f>
        <v/>
      </c>
      <c r="E11" s="16">
        <f>'Yearly Macro'!E9</f>
        <v/>
      </c>
      <c r="F11" s="49">
        <f>(E11/E10)-1</f>
        <v/>
      </c>
      <c r="G11" t="inlineStr"/>
      <c r="H11" s="10">
        <f>'Yearly Macro'!I9</f>
        <v/>
      </c>
    </row>
    <row r="12">
      <c r="A12" t="inlineStr">
        <is>
          <t>FY2021-22</t>
        </is>
      </c>
      <c r="B12" t="inlineStr">
        <is>
          <t>No</t>
        </is>
      </c>
      <c r="C12">
        <f>'Yearly Macro'!B10</f>
        <v/>
      </c>
      <c r="D12" s="49">
        <f>'Yearly Macro'!C10</f>
        <v/>
      </c>
      <c r="E12" s="16">
        <f>'Yearly Macro'!E10</f>
        <v/>
      </c>
      <c r="F12" s="49">
        <f>(E12/E11)-1</f>
        <v/>
      </c>
      <c r="G12" t="inlineStr"/>
      <c r="H12" s="10">
        <f>'Yearly Macro'!I10</f>
        <v/>
      </c>
    </row>
    <row r="13">
      <c r="A13" t="inlineStr">
        <is>
          <t>FY2022-23</t>
        </is>
      </c>
      <c r="B13" t="inlineStr">
        <is>
          <t>No</t>
        </is>
      </c>
      <c r="C13">
        <f>'Yearly Macro'!B11</f>
        <v/>
      </c>
      <c r="D13" s="49">
        <f>'Yearly Macro'!C11</f>
        <v/>
      </c>
      <c r="E13" s="16">
        <f>'Yearly Macro'!E11</f>
        <v/>
      </c>
      <c r="F13" s="49">
        <f>(E13/E12)-1</f>
        <v/>
      </c>
      <c r="G13" t="inlineStr"/>
      <c r="H13" s="10">
        <f>'Yearly Macro'!I11</f>
        <v/>
      </c>
    </row>
    <row r="14">
      <c r="A14" t="inlineStr">
        <is>
          <t>FY2023-24</t>
        </is>
      </c>
      <c r="B14" t="inlineStr">
        <is>
          <t>Yes</t>
        </is>
      </c>
      <c r="C14">
        <f>'Yearly Macro'!B12</f>
        <v/>
      </c>
      <c r="D14" s="49">
        <f>'Yearly Macro'!C12</f>
        <v/>
      </c>
      <c r="E14" s="16">
        <f>'Yearly Macro'!E12</f>
        <v/>
      </c>
      <c r="F14" s="49">
        <f>(E14/E13)-1</f>
        <v/>
      </c>
      <c r="G14" t="inlineStr">
        <is>
          <t>Election / transition-adjacent year; compare growth with debt build-up.</t>
        </is>
      </c>
      <c r="H14" s="10">
        <f>'Yearly Macro'!I12</f>
        <v/>
      </c>
    </row>
    <row r="15">
      <c r="A15" t="inlineStr">
        <is>
          <t>FY2024-25</t>
        </is>
      </c>
      <c r="B15" t="inlineStr">
        <is>
          <t>No</t>
        </is>
      </c>
      <c r="C15">
        <f>'Yearly Macro'!B13</f>
        <v/>
      </c>
      <c r="D15" s="49">
        <f>'Yearly Macro'!C13</f>
        <v/>
      </c>
      <c r="E15" s="16">
        <f>'Yearly Macro'!E13</f>
        <v/>
      </c>
      <c r="F15" s="49">
        <f>(E15/E14)-1</f>
        <v/>
      </c>
      <c r="G15" t="inlineStr"/>
      <c r="H15" s="10">
        <f>'Yearly Macro'!I13</f>
        <v/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30" customWidth="1" min="4" max="4"/>
    <col width="14" customWidth="1" min="5" max="5"/>
    <col width="12" customWidth="1" min="6" max="6"/>
    <col width="58" customWidth="1" min="7" max="7"/>
    <col width="58" customWidth="1" min="8" max="8"/>
  </cols>
  <sheetData>
    <row r="1">
      <c r="A1" s="36" t="inlineStr">
        <is>
          <t>Province-wise debt indicators (Punjab vs Sindh)</t>
        </is>
      </c>
    </row>
    <row r="2">
      <c r="A2" s="42" t="inlineStr">
        <is>
          <t>Punjab trend uses official debt stock snapshots. Sindh trend mixes total debt liability (2021), external public debt proxy (2023), and FY2024-25 debt increase/servicing where a clean total stock was not surfaced in the current source set. Use as a directional chart, not a statutory series.</t>
        </is>
      </c>
    </row>
    <row r="3">
      <c r="A3" s="4" t="inlineStr">
        <is>
          <t>Year</t>
        </is>
      </c>
      <c r="B3" s="4" t="inlineStr">
        <is>
          <t>Punjab metric type</t>
        </is>
      </c>
      <c r="C3" s="4" t="inlineStr">
        <is>
          <t>Punjab value</t>
        </is>
      </c>
      <c r="D3" s="4" t="inlineStr">
        <is>
          <t>Sindh metric type</t>
        </is>
      </c>
      <c r="E3" s="4" t="inlineStr">
        <is>
          <t>Sindh value</t>
        </is>
      </c>
      <c r="F3" s="4" t="inlineStr">
        <is>
          <t>Comparable?</t>
        </is>
      </c>
      <c r="G3" s="4" t="inlineStr">
        <is>
          <t>Punjab source</t>
        </is>
      </c>
      <c r="H3" s="4" t="inlineStr">
        <is>
          <t>Sindh source</t>
        </is>
      </c>
    </row>
    <row r="4">
      <c r="A4" t="n">
        <v>2020</v>
      </c>
      <c r="B4" t="inlineStr">
        <is>
          <t>Punjab debt stock (PKR bn)</t>
        </is>
      </c>
      <c r="C4" s="51" t="n">
        <v>945.5</v>
      </c>
      <c r="D4" t="inlineStr">
        <is>
          <t>-</t>
        </is>
      </c>
      <c r="E4" s="52" t="inlineStr">
        <is>
          <t>-</t>
        </is>
      </c>
      <c r="F4" t="inlineStr">
        <is>
          <t>No</t>
        </is>
      </c>
      <c r="G4" s="10" t="inlineStr">
        <is>
          <t>https://finance.punjab.gov.pk/system/files/FRS21-22.pdf</t>
        </is>
      </c>
      <c r="H4" s="10" t="inlineStr"/>
    </row>
    <row r="5">
      <c r="A5" t="n">
        <v>2021</v>
      </c>
      <c r="B5" t="inlineStr">
        <is>
          <t>Punjab debt stock (PKR bn)</t>
        </is>
      </c>
      <c r="C5" s="51" t="n">
        <v>955</v>
      </c>
      <c r="D5" t="inlineStr">
        <is>
          <t>Sindh total debt liability (PKR bn)</t>
        </is>
      </c>
      <c r="E5" s="51" t="n">
        <v>603.6</v>
      </c>
      <c r="F5" t="inlineStr">
        <is>
          <t>Partial</t>
        </is>
      </c>
      <c r="G5" s="10" t="inlineStr">
        <is>
          <t>https://finance.punjab.gov.pk/system/files/FRS22-23.pdf</t>
        </is>
      </c>
      <c r="H5" s="10" t="inlineStr">
        <is>
          <t>https://finance.gos.pk/Latest/downloadNotification?path=Notifications%2FUpdate%2F45334e9a-5f3c-4474-a368-d6f4d1eb7e53-Budget+Strategy+paper+2022-25.pdf</t>
        </is>
      </c>
    </row>
    <row r="6">
      <c r="A6" t="n">
        <v>2022</v>
      </c>
      <c r="B6" t="inlineStr">
        <is>
          <t>Punjab debt stock (approx PKR bn)</t>
        </is>
      </c>
      <c r="C6" s="51" t="n">
        <v>1131</v>
      </c>
      <c r="D6" t="inlineStr">
        <is>
          <t>-</t>
        </is>
      </c>
      <c r="E6" s="52" t="inlineStr">
        <is>
          <t>-</t>
        </is>
      </c>
      <c r="F6" t="inlineStr">
        <is>
          <t>No</t>
        </is>
      </c>
      <c r="G6" s="10" t="inlineStr">
        <is>
          <t>https://finance.punjab.gov.pk/system/files/Debt%20Bulletin%20June-2022.pdf</t>
        </is>
      </c>
      <c r="H6" s="10" t="inlineStr"/>
    </row>
    <row r="7">
      <c r="A7" t="n">
        <v>2023</v>
      </c>
      <c r="B7" t="inlineStr">
        <is>
          <t>Punjab external public debt (USD mn)</t>
        </is>
      </c>
      <c r="C7" s="51" t="n">
        <v>5951</v>
      </c>
      <c r="D7" t="inlineStr">
        <is>
          <t>Sindh external public debt (USD mn)</t>
        </is>
      </c>
      <c r="E7" s="51" t="n">
        <v>3125</v>
      </c>
      <c r="F7" t="inlineStr">
        <is>
          <t>Yes (USD proxy)</t>
        </is>
      </c>
      <c r="G7" s="10" t="inlineStr">
        <is>
          <t>https://www.finance.gov.pk/publications/Annual_Debt_Review_FY_2022_23.pdf</t>
        </is>
      </c>
      <c r="H7" s="10" t="inlineStr">
        <is>
          <t>https://www.finance.gov.pk/publications/Annual_Debt_Review_FY_2022_23.pdf</t>
        </is>
      </c>
    </row>
    <row r="8">
      <c r="A8" t="n">
        <v>2024</v>
      </c>
      <c r="B8" t="inlineStr">
        <is>
          <t>Punjab debt stock (PKR bn)</t>
        </is>
      </c>
      <c r="C8" s="51" t="n">
        <v>1677</v>
      </c>
      <c r="D8" t="inlineStr">
        <is>
          <t>Sindh debt servicing FY24-25 (PKR bn)</t>
        </is>
      </c>
      <c r="E8" s="51" t="n">
        <v>71.38</v>
      </c>
      <c r="F8" t="inlineStr">
        <is>
          <t>No</t>
        </is>
      </c>
      <c r="G8" s="10" t="inlineStr">
        <is>
          <t>https://finance.punjab.gov.pk/system/files/DebtBulletinJun24.pdf</t>
        </is>
      </c>
      <c r="H8" s="10" t="inlineStr">
        <is>
          <t>https://finance.gos.pk/Home/Download?path=SpecializedUnits%2FDMU%2FDEBT+BULLETIN+30-06-25.pdf</t>
        </is>
      </c>
    </row>
    <row r="9">
      <c r="A9" t="n">
        <v>2025</v>
      </c>
      <c r="B9" t="inlineStr">
        <is>
          <t>Punjab debt stock (PKR bn)</t>
        </is>
      </c>
      <c r="C9" s="51" t="n">
        <v>1757.2</v>
      </c>
      <c r="D9" t="inlineStr">
        <is>
          <t>Sindh FY24-25 debt increase (PKR bn)</t>
        </is>
      </c>
      <c r="E9" s="51" t="n">
        <v>284.951</v>
      </c>
      <c r="F9" t="inlineStr">
        <is>
          <t>No</t>
        </is>
      </c>
      <c r="G9" s="10" t="inlineStr">
        <is>
          <t>https://finance.punjab.gov.pk/system/files/punjab_debt_bulletin_june_2025.pdf</t>
        </is>
      </c>
      <c r="H9" s="10" t="inlineStr">
        <is>
          <t>https://finance.gos.pk/Home/Download?path=SpecializedUnits%2FDMU%2FDEBT+BULLETIN+30-06-25.pdf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6" customWidth="1" min="3" max="3"/>
    <col width="14" customWidth="1" min="4" max="4"/>
    <col width="2" customWidth="1" min="5" max="5"/>
    <col width="18" customWidth="1" min="6" max="6"/>
    <col width="32" customWidth="1" min="7" max="7"/>
    <col width="14" customWidth="1" min="8" max="8"/>
    <col width="14" customWidth="1" min="9" max="9"/>
    <col width="2" customWidth="1" min="10" max="10"/>
    <col width="18" customWidth="1" min="11" max="11"/>
    <col width="14" customWidth="1" min="12" max="12"/>
    <col width="6" customWidth="1" min="13" max="13"/>
    <col width="14" customWidth="1" min="14" max="14"/>
  </cols>
  <sheetData>
    <row r="1">
      <c r="A1" s="36" t="inlineStr">
        <is>
          <t>Prime Minister Scorecards</t>
        </is>
      </c>
    </row>
    <row r="3">
      <c r="A3" s="37" t="inlineStr">
        <is>
          <t>Nawaz / PML-N Scorecard</t>
        </is>
      </c>
      <c r="F3" s="37" t="inlineStr">
        <is>
          <t>Imran Khan Scorecard</t>
        </is>
      </c>
      <c r="K3" s="37" t="inlineStr">
        <is>
          <t>Shehbaz Sharif Scorecard</t>
        </is>
      </c>
    </row>
    <row r="4">
      <c r="A4" s="31" t="inlineStr">
        <is>
          <t>Average GDP Growth (%)</t>
        </is>
      </c>
      <c r="C4" s="38">
        <f>Nawaz!K5</f>
        <v/>
      </c>
      <c r="F4" s="31" t="inlineStr">
        <is>
          <t>Average GDP Growth (%)</t>
        </is>
      </c>
      <c r="H4" s="38">
        <f>Imran!K5</f>
        <v/>
      </c>
      <c r="K4" s="31" t="inlineStr">
        <is>
          <t>Average GDP Growth (%)</t>
        </is>
      </c>
      <c r="M4" s="38">
        <f>Shehbaz!K5</f>
        <v/>
      </c>
    </row>
    <row r="5">
      <c r="A5" s="31" t="inlineStr">
        <is>
          <t>Average Inflation (%)</t>
        </is>
      </c>
      <c r="C5" s="39">
        <f>Nawaz!K6</f>
        <v/>
      </c>
      <c r="F5" s="31" t="inlineStr">
        <is>
          <t>Average Inflation (%)</t>
        </is>
      </c>
      <c r="H5" s="39">
        <f>Imran!K6</f>
        <v/>
      </c>
      <c r="K5" s="31" t="inlineStr">
        <is>
          <t>Average Inflation (%)</t>
        </is>
      </c>
      <c r="M5" s="39">
        <f>Shehbaz!K6</f>
        <v/>
      </c>
    </row>
    <row r="6">
      <c r="A6" s="31" t="inlineStr">
        <is>
          <t>Debt Increase (PKR bn)</t>
        </is>
      </c>
      <c r="C6" s="40">
        <f>Nawaz!K7</f>
        <v/>
      </c>
      <c r="F6" s="31" t="inlineStr">
        <is>
          <t>Debt Increase (PKR bn)</t>
        </is>
      </c>
      <c r="H6" s="40">
        <f>Imran!K7</f>
        <v/>
      </c>
      <c r="K6" s="31" t="inlineStr">
        <is>
          <t>Debt Increase (PKR bn)</t>
        </is>
      </c>
      <c r="M6" s="40">
        <f>Shehbaz!K7</f>
        <v/>
      </c>
    </row>
    <row r="7">
      <c r="A7" s="31" t="inlineStr">
        <is>
          <t>Start Debt/GDP (%)</t>
        </is>
      </c>
      <c r="C7" s="41">
        <f>Nawaz!K8</f>
        <v/>
      </c>
      <c r="F7" s="31" t="inlineStr">
        <is>
          <t>Start Debt/GDP (%)</t>
        </is>
      </c>
      <c r="H7" s="41">
        <f>Imran!K8</f>
        <v/>
      </c>
      <c r="K7" s="31" t="inlineStr">
        <is>
          <t>Start Debt/GDP (%)</t>
        </is>
      </c>
      <c r="M7" s="41">
        <f>Shehbaz!K8</f>
        <v/>
      </c>
    </row>
    <row r="8">
      <c r="A8" s="31" t="inlineStr">
        <is>
          <t>End Debt/GDP (%)</t>
        </is>
      </c>
      <c r="C8" s="41">
        <f>Nawaz!K9</f>
        <v/>
      </c>
      <c r="F8" s="31" t="inlineStr">
        <is>
          <t>End Debt/GDP (%)</t>
        </is>
      </c>
      <c r="H8" s="41">
        <f>Imran!K9</f>
        <v/>
      </c>
      <c r="K8" s="31" t="inlineStr">
        <is>
          <t>End Debt/GDP (%)</t>
        </is>
      </c>
      <c r="M8" s="41">
        <f>Shehbaz!K9</f>
        <v/>
      </c>
    </row>
    <row r="9">
      <c r="A9" s="31" t="inlineStr">
        <is>
          <t>Years covered</t>
        </is>
      </c>
      <c r="C9" s="41">
        <f>Nawaz!K10</f>
        <v/>
      </c>
      <c r="F9" s="31" t="inlineStr">
        <is>
          <t>Years covered</t>
        </is>
      </c>
      <c r="H9" s="41">
        <f>Imran!K10</f>
        <v/>
      </c>
      <c r="K9" s="31" t="inlineStr">
        <is>
          <t>Years covered</t>
        </is>
      </c>
      <c r="M9" s="41">
        <f>Shehbaz!K10</f>
        <v/>
      </c>
    </row>
    <row r="10">
      <c r="A10" s="18" t="inlineStr">
        <is>
          <t>Scorecard comment</t>
        </is>
      </c>
      <c r="F10" s="18" t="inlineStr">
        <is>
          <t>Scorecard comment</t>
        </is>
      </c>
      <c r="K10" s="18" t="inlineStr">
        <is>
          <t>Scorecard comment</t>
        </is>
      </c>
    </row>
    <row r="11">
      <c r="A11" s="42" t="inlineStr">
        <is>
          <t>Growth leader in this comparison. Macro expansion was stronger, but vulnerabilities accumulated by the end of the period.</t>
        </is>
      </c>
      <c r="F11" s="42" t="inlineStr">
        <is>
          <t>Volatile period. Growth was hit by stabilization and COVID, then rebounded sharply, but debt and external stress worsened.</t>
        </is>
      </c>
      <c r="K11" s="42" t="inlineStr">
        <is>
          <t>Stabilization-focused period. Inflation cooled and the macro picture improved by FY2025, but debt kept rising.</t>
        </is>
      </c>
    </row>
    <row r="12"/>
    <row r="13"/>
    <row r="16">
      <c r="A16" s="4" t="inlineStr">
        <is>
          <t>Metric</t>
        </is>
      </c>
      <c r="B16" s="4" t="inlineStr">
        <is>
          <t>Nawaz</t>
        </is>
      </c>
      <c r="C16" s="4" t="inlineStr">
        <is>
          <t>Imran</t>
        </is>
      </c>
      <c r="D16" s="4" t="inlineStr">
        <is>
          <t>Shehbaz</t>
        </is>
      </c>
      <c r="F16" s="18" t="inlineStr">
        <is>
          <t>Verdict legend</t>
        </is>
      </c>
    </row>
    <row r="17">
      <c r="A17" s="31" t="inlineStr">
        <is>
          <t>Average GDP Growth (%)</t>
        </is>
      </c>
      <c r="B17">
        <f>Nawaz!K5</f>
        <v/>
      </c>
      <c r="C17">
        <f>Imran!K5</f>
        <v/>
      </c>
      <c r="D17">
        <f>Shehbaz!K5</f>
        <v/>
      </c>
      <c r="F17" s="43" t="inlineStr">
        <is>
          <t>Green</t>
        </is>
      </c>
      <c r="G17" t="inlineStr">
        <is>
          <t>Best comparative score</t>
        </is>
      </c>
    </row>
    <row r="18">
      <c r="A18" s="31" t="inlineStr">
        <is>
          <t>Debt Increase (PKR bn)</t>
        </is>
      </c>
      <c r="B18">
        <f>Nawaz!K7</f>
        <v/>
      </c>
      <c r="C18">
        <f>Imran!K7</f>
        <v/>
      </c>
      <c r="D18">
        <f>Shehbaz!K7</f>
        <v/>
      </c>
      <c r="F18" s="44" t="inlineStr">
        <is>
          <t>Yellow</t>
        </is>
      </c>
      <c r="G18" t="inlineStr">
        <is>
          <t>Mixed / context-heavy</t>
        </is>
      </c>
    </row>
    <row r="19">
      <c r="A19" s="31" t="inlineStr">
        <is>
          <t>End Debt/GDP (%)</t>
        </is>
      </c>
      <c r="B19">
        <f>Nawaz!K9</f>
        <v/>
      </c>
      <c r="C19">
        <f>Imran!K9</f>
        <v/>
      </c>
      <c r="D19">
        <f>Shehbaz!K9</f>
        <v/>
      </c>
      <c r="F19" s="45" t="inlineStr">
        <is>
          <t>Red</t>
        </is>
      </c>
      <c r="G19" t="inlineStr">
        <is>
          <t>Weakest / risk-heavy</t>
        </is>
      </c>
    </row>
    <row r="22">
      <c r="A22" s="18" t="inlineStr">
        <is>
          <t>Source note</t>
        </is>
      </c>
      <c r="B22" s="35" t="inlineStr">
        <is>
          <t>All scorecards link to the Nawaz, Imran, and Shehbaz sheets, which in turn link to Yearly Macro.</t>
        </is>
      </c>
    </row>
  </sheetData>
  <mergeCells count="48">
    <mergeCell ref="F4:G4"/>
    <mergeCell ref="C6:D6"/>
    <mergeCell ref="F16:G16"/>
    <mergeCell ref="C5:D5"/>
    <mergeCell ref="K9:L9"/>
    <mergeCell ref="K5:L5"/>
    <mergeCell ref="F6:G6"/>
    <mergeCell ref="M9:N9"/>
    <mergeCell ref="M5:N5"/>
    <mergeCell ref="H4:I4"/>
    <mergeCell ref="K4:L4"/>
    <mergeCell ref="A10:D10"/>
    <mergeCell ref="K10:N10"/>
    <mergeCell ref="A6:B6"/>
    <mergeCell ref="H9:I9"/>
    <mergeCell ref="F7:G7"/>
    <mergeCell ref="A1:N1"/>
    <mergeCell ref="C4:D4"/>
    <mergeCell ref="H6:I6"/>
    <mergeCell ref="A7:B7"/>
    <mergeCell ref="K3:N3"/>
    <mergeCell ref="F5:G5"/>
    <mergeCell ref="F11:I13"/>
    <mergeCell ref="C9:D9"/>
    <mergeCell ref="F10:I10"/>
    <mergeCell ref="F8:G8"/>
    <mergeCell ref="M7:N7"/>
    <mergeCell ref="B22:N22"/>
    <mergeCell ref="M6:N6"/>
    <mergeCell ref="K8:L8"/>
    <mergeCell ref="F3:I3"/>
    <mergeCell ref="H7:I7"/>
    <mergeCell ref="A11:D13"/>
    <mergeCell ref="A5:B5"/>
    <mergeCell ref="K6:L6"/>
    <mergeCell ref="K11:N13"/>
    <mergeCell ref="A8:B8"/>
    <mergeCell ref="M8:N8"/>
    <mergeCell ref="C8:D8"/>
    <mergeCell ref="F9:G9"/>
    <mergeCell ref="A4:B4"/>
    <mergeCell ref="K7:L7"/>
    <mergeCell ref="C7:D7"/>
    <mergeCell ref="A3:D3"/>
    <mergeCell ref="H5:I5"/>
    <mergeCell ref="H8:I8"/>
    <mergeCell ref="A9:B9"/>
    <mergeCell ref="M4:N4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2" customWidth="1" min="5" max="5"/>
    <col width="24" customWidth="1" min="7" max="7"/>
    <col width="48" customWidth="1" min="8" max="8"/>
  </cols>
  <sheetData>
    <row r="1">
      <c r="A1" s="1" t="inlineStr">
        <is>
          <t>Pakistan Political Comparison Dashboard (V2)</t>
        </is>
      </c>
    </row>
    <row r="2">
      <c r="A2" s="4" t="inlineStr">
        <is>
          <t>Dashboard note</t>
        </is>
      </c>
      <c r="B2" s="17" t="inlineStr">
        <is>
          <t>Built from the Yearly Macro sheet and tenure sheets. Use this for quick political comparisons, not as a substitute for primary source documents.</t>
        </is>
      </c>
    </row>
    <row r="5">
      <c r="A5" s="4" t="inlineStr">
        <is>
          <t>Metric</t>
        </is>
      </c>
      <c r="B5" s="4" t="inlineStr">
        <is>
          <t>Nawaz / PML-N</t>
        </is>
      </c>
      <c r="C5" s="4" t="inlineStr">
        <is>
          <t>Imran Khan</t>
        </is>
      </c>
      <c r="D5" s="4" t="inlineStr">
        <is>
          <t>Shehbaz Sharif</t>
        </is>
      </c>
      <c r="E5" s="4" t="inlineStr">
        <is>
          <t>Best / Highest</t>
        </is>
      </c>
      <c r="G5" s="18" t="inlineStr">
        <is>
          <t>Political verdict scorecard</t>
        </is>
      </c>
    </row>
    <row r="6">
      <c r="A6" s="11" t="inlineStr">
        <is>
          <t>Average GDP Growth (%)</t>
        </is>
      </c>
      <c r="B6" s="19">
        <f>Nawaz!K5</f>
        <v/>
      </c>
      <c r="C6" s="19">
        <f>Imran!K5</f>
        <v/>
      </c>
      <c r="D6" s="19">
        <f>Shehbaz!K5</f>
        <v/>
      </c>
      <c r="E6" s="20">
        <f>INDEX(B6:D6,MATCH(MAX(B6:D6),B6:D6,0))</f>
        <v/>
      </c>
      <c r="G6" s="11" t="inlineStr">
        <is>
          <t>Fastest average growth</t>
        </is>
      </c>
      <c r="H6">
        <f>E6</f>
        <v/>
      </c>
    </row>
    <row r="7">
      <c r="A7" s="11" t="inlineStr">
        <is>
          <t>Average Inflation (%)</t>
        </is>
      </c>
      <c r="B7" s="19">
        <f>Nawaz!K6</f>
        <v/>
      </c>
      <c r="C7" s="19">
        <f>Imran!K6</f>
        <v/>
      </c>
      <c r="D7" s="19">
        <f>Shehbaz!K6</f>
        <v/>
      </c>
      <c r="E7" s="20" t="inlineStr">
        <is>
          <t>"Lower is better"</t>
        </is>
      </c>
      <c r="G7" s="11" t="inlineStr">
        <is>
          <t>Largest debt increase</t>
        </is>
      </c>
      <c r="H7">
        <f>E8</f>
        <v/>
      </c>
    </row>
    <row r="8">
      <c r="A8" s="11" t="inlineStr">
        <is>
          <t>Debt Increase (PKR bn)</t>
        </is>
      </c>
      <c r="B8" s="21">
        <f>Nawaz!K7</f>
        <v/>
      </c>
      <c r="C8" s="21">
        <f>Imran!K7</f>
        <v/>
      </c>
      <c r="D8" s="21">
        <f>Shehbaz!K7</f>
        <v/>
      </c>
      <c r="E8" s="20">
        <f>INDEX(B8:D8,MATCH(MAX(B8:D8),B8:D8,0))</f>
        <v/>
      </c>
      <c r="G8" s="11" t="inlineStr">
        <is>
          <t>Most recent stabilization winner</t>
        </is>
      </c>
      <c r="H8" t="inlineStr">
        <is>
          <t>"Shehbaz Sharif (FY2024-25 macro stabilization)"</t>
        </is>
      </c>
    </row>
    <row r="9">
      <c r="A9" s="11" t="inlineStr">
        <is>
          <t>Start Debt/GDP (%)</t>
        </is>
      </c>
      <c r="B9" s="19">
        <f>Nawaz!K8</f>
        <v/>
      </c>
      <c r="C9" s="19">
        <f>Imran!K8</f>
        <v/>
      </c>
      <c r="D9" s="19">
        <f>Shehbaz!K8</f>
        <v/>
      </c>
      <c r="E9" s="20" t="inlineStr">
        <is>
          <t>"-"</t>
        </is>
      </c>
    </row>
    <row r="10">
      <c r="A10" s="11" t="inlineStr">
        <is>
          <t>End Debt/GDP (%)</t>
        </is>
      </c>
      <c r="B10" s="19">
        <f>Nawaz!K9</f>
        <v/>
      </c>
      <c r="C10" s="19">
        <f>Imran!K9</f>
        <v/>
      </c>
      <c r="D10" s="19">
        <f>Shehbaz!K9</f>
        <v/>
      </c>
      <c r="E10" s="20" t="inlineStr">
        <is>
          <t>"-"</t>
        </is>
      </c>
      <c r="G10" s="18" t="inlineStr">
        <is>
          <t>Interpretation cautions</t>
        </is>
      </c>
    </row>
    <row r="11">
      <c r="A11" s="11" t="inlineStr">
        <is>
          <t>Years Covered</t>
        </is>
      </c>
      <c r="B11" s="22">
        <f>Nawaz!K10</f>
        <v/>
      </c>
      <c r="C11" s="22">
        <f>Imran!K10</f>
        <v/>
      </c>
      <c r="D11" s="22">
        <f>Shehbaz!K10</f>
        <v/>
      </c>
      <c r="E11" s="20">
        <f>SUM(B11:D11)</f>
        <v/>
      </c>
      <c r="G11" t="inlineStr">
        <is>
          <t>•</t>
        </is>
      </c>
      <c r="H11" s="23" t="inlineStr">
        <is>
          <t>Debt jumps in later years were amplified by rupee depreciation.</t>
        </is>
      </c>
    </row>
    <row r="12">
      <c r="G12" t="inlineStr">
        <is>
          <t>•</t>
        </is>
      </c>
      <c r="H12" s="23" t="inlineStr">
        <is>
          <t>FY2021-22 is assigned to Imran for comparability, though it was a transition year.</t>
        </is>
      </c>
    </row>
    <row r="13">
      <c r="G13" t="inlineStr">
        <is>
          <t>•</t>
        </is>
      </c>
      <c r="H13" s="23" t="inlineStr">
        <is>
          <t>Growth quality and stabilization are not the same thing.</t>
        </is>
      </c>
    </row>
    <row r="29">
      <c r="A29" s="18" t="inlineStr">
        <is>
          <t>Sources</t>
        </is>
      </c>
      <c r="B29" s="24" t="inlineStr">
        <is>
          <t>See Yearly Macro, Major Loan Programs, External Flows, Debt Servicing, and Provincial Debt sheets for plain-text URLs and notes.</t>
        </is>
      </c>
    </row>
  </sheetData>
  <mergeCells count="4">
    <mergeCell ref="G5:H5"/>
    <mergeCell ref="G10:H10"/>
    <mergeCell ref="B29:H29"/>
    <mergeCell ref="A1:H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Pakistan Economic Statistics &amp; Loan Breakdown (2013–2025)</t>
        </is>
      </c>
    </row>
    <row r="3">
      <c r="A3" s="2" t="inlineStr">
        <is>
          <t>What this workbook includes</t>
        </is>
      </c>
    </row>
    <row r="4">
      <c r="A4" t="inlineStr">
        <is>
          <t>1) Yearly macro table by fiscal year (growth, inflation, debt)</t>
        </is>
      </c>
    </row>
    <row r="5">
      <c r="A5" t="inlineStr">
        <is>
          <t>2) Major loan programs and facilities (IMF + notable financing)</t>
        </is>
      </c>
    </row>
    <row r="6">
      <c r="A6" t="inlineStr">
        <is>
          <t>3) External inflows / repayments breakdown from official debt statements</t>
        </is>
      </c>
    </row>
    <row r="7">
      <c r="A7" t="inlineStr">
        <is>
          <t>4) Debt servicing sheet</t>
        </is>
      </c>
    </row>
    <row r="8">
      <c r="A8" t="inlineStr">
        <is>
          <t>5) Tenure summary with formulas</t>
        </is>
      </c>
    </row>
    <row r="9">
      <c r="A9" t="inlineStr">
        <is>
          <t>6) Provincial debt snapshot</t>
        </is>
      </c>
    </row>
    <row r="11">
      <c r="A11" s="2" t="inlineStr">
        <is>
          <t>Important caveat</t>
        </is>
      </c>
    </row>
    <row r="12">
      <c r="A12" s="3" t="inlineStr">
        <is>
          <t>Use this workbook as an analyst briefing file, not as a legal/statutory publication. Some annual debt rows are compiled from multiple official debt reviews/summaries for continuity. Validate against the latest SBP annual debt summary before public release.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8" customWidth="1" min="5" max="5"/>
    <col width="13" customWidth="1" min="6" max="6"/>
    <col width="23" customWidth="1" min="7" max="7"/>
    <col width="54" customWidth="1" min="8" max="8"/>
    <col width="62" customWidth="1" min="9" max="9"/>
  </cols>
  <sheetData>
    <row r="1">
      <c r="A1" s="4" t="inlineStr">
        <is>
          <t>Fiscal Year</t>
        </is>
      </c>
      <c r="B1" s="4" t="inlineStr">
        <is>
          <t>Tenure</t>
        </is>
      </c>
      <c r="C1" s="4" t="inlineStr">
        <is>
          <t>Real GDP Growth (%)</t>
        </is>
      </c>
      <c r="D1" s="4" t="inlineStr">
        <is>
          <t>Inflation (%)</t>
        </is>
      </c>
      <c r="E1" s="4" t="inlineStr">
        <is>
          <t>Public Debt (PKR bn)</t>
        </is>
      </c>
      <c r="F1" s="4" t="inlineStr">
        <is>
          <t>Debt/GDP (%)</t>
        </is>
      </c>
      <c r="G1" s="4" t="inlineStr">
        <is>
          <t>Current Account (USD bn)</t>
        </is>
      </c>
      <c r="H1" s="4" t="inlineStr">
        <is>
          <t>Data note</t>
        </is>
      </c>
      <c r="I1" s="4" t="inlineStr">
        <is>
          <t>Source URL</t>
        </is>
      </c>
    </row>
    <row r="2">
      <c r="A2" t="inlineStr">
        <is>
          <t>FY2013-14</t>
        </is>
      </c>
      <c r="B2" t="inlineStr">
        <is>
          <t>Nawaz / PML-N</t>
        </is>
      </c>
      <c r="C2" s="5" t="n">
        <v>4.03</v>
      </c>
      <c r="D2" s="6" t="n">
        <v>8.6</v>
      </c>
      <c r="E2" s="7" t="n">
        <v>14366</v>
      </c>
      <c r="F2" s="6" t="n">
        <v>62.7</v>
      </c>
      <c r="G2" s="8" t="n"/>
      <c r="H2" s="9" t="inlineStr">
        <is>
          <t>Growth &amp; inflation from official year books/surveys; debt from MoF debt statement surfaced in official debt docs.</t>
        </is>
      </c>
      <c r="I2" s="10" t="inlineStr">
        <is>
          <t>https://www.finance.gov.pk/publications/YearBook2013_14.pdf</t>
        </is>
      </c>
    </row>
    <row r="3">
      <c r="A3" t="inlineStr">
        <is>
          <t>FY2014-15</t>
        </is>
      </c>
      <c r="B3" t="inlineStr">
        <is>
          <t>Nawaz / PML-N</t>
        </is>
      </c>
      <c r="C3" s="5" t="n">
        <v>4.24</v>
      </c>
      <c r="D3" s="6" t="n">
        <v>4.53</v>
      </c>
      <c r="E3" s="7" t="n">
        <v>15992</v>
      </c>
      <c r="F3" s="6" t="n">
        <v>63.5</v>
      </c>
      <c r="G3" s="8" t="n">
        <v>-1.4</v>
      </c>
      <c r="H3" s="9" t="inlineStr">
        <is>
          <t>Current-account figure shown for Jul-Apr in survey highlights; use with care.</t>
        </is>
      </c>
      <c r="I3" s="10" t="inlineStr">
        <is>
          <t>https://www.finance.gov.pk/publications/YearBook2014_15.pdf</t>
        </is>
      </c>
    </row>
    <row r="4">
      <c r="A4" t="inlineStr">
        <is>
          <t>FY2015-16</t>
        </is>
      </c>
      <c r="B4" t="inlineStr">
        <is>
          <t>Nawaz / PML-N</t>
        </is>
      </c>
      <c r="C4" s="5" t="n">
        <v>4.71</v>
      </c>
      <c r="D4" s="6" t="n">
        <v>2.9</v>
      </c>
      <c r="E4" s="7" t="n">
        <v>17381</v>
      </c>
      <c r="F4" s="6" t="n">
        <v>63.3</v>
      </c>
      <c r="G4" s="8" t="n"/>
      <c r="H4" s="9" t="inlineStr">
        <is>
          <t>Debt row compiled to maintain annual continuity; validate vs SBP summary for publication.</t>
        </is>
      </c>
      <c r="I4" s="10" t="inlineStr">
        <is>
          <t>https://www.finance.gov.pk/survey/chapters_16/highlights_2015_16.pdf</t>
        </is>
      </c>
    </row>
    <row r="5">
      <c r="A5" t="inlineStr">
        <is>
          <t>FY2016-17</t>
        </is>
      </c>
      <c r="B5" t="inlineStr">
        <is>
          <t>Nawaz / PML-N</t>
        </is>
      </c>
      <c r="C5" s="5" t="n">
        <v>5.28</v>
      </c>
      <c r="D5" s="6" t="n">
        <v>4.8</v>
      </c>
      <c r="E5" s="7" t="n">
        <v>21407</v>
      </c>
      <c r="F5" s="6" t="n">
        <v>67.2</v>
      </c>
      <c r="G5" s="8" t="n"/>
      <c r="H5" s="9" t="inlineStr">
        <is>
          <t>Official debt stock and GDP ratio from Debt Policy Statement 2017-18.</t>
        </is>
      </c>
      <c r="I5" s="10" t="inlineStr">
        <is>
          <t>https://www.finance.gov.pk/publications/DPS_2017_18.pdf</t>
        </is>
      </c>
    </row>
    <row r="6">
      <c r="A6" t="inlineStr">
        <is>
          <t>FY2017-18</t>
        </is>
      </c>
      <c r="B6" t="inlineStr">
        <is>
          <t>Nawaz / PML-N</t>
        </is>
      </c>
      <c r="C6" s="5" t="n">
        <v>5.8</v>
      </c>
      <c r="D6" s="6" t="n">
        <v>4.7</v>
      </c>
      <c r="E6" s="7" t="n">
        <v>24953</v>
      </c>
      <c r="F6" s="6" t="n">
        <v>72.5</v>
      </c>
      <c r="G6" s="8" t="n"/>
      <c r="H6" s="9" t="inlineStr">
        <is>
          <t>Debt ratio from DPS 2018-19; debt stock compiled for annual continuity.</t>
        </is>
      </c>
      <c r="I6" s="10" t="inlineStr">
        <is>
          <t>https://www.finance.gov.pk/publications/DPS_2018_19.pdf</t>
        </is>
      </c>
    </row>
    <row r="7">
      <c r="A7" t="inlineStr">
        <is>
          <t>FY2018-19</t>
        </is>
      </c>
      <c r="B7" t="inlineStr">
        <is>
          <t>Imran Khan</t>
        </is>
      </c>
      <c r="C7" s="5" t="n">
        <v>2.08</v>
      </c>
      <c r="D7" s="6" t="n">
        <v>6.8</v>
      </c>
      <c r="E7" s="7" t="n">
        <v>32708</v>
      </c>
      <c r="F7" s="6" t="n">
        <v>74.7</v>
      </c>
      <c r="G7" s="8" t="n"/>
      <c r="H7" s="9" t="inlineStr">
        <is>
          <t>Debt stock compiled; debt ratio from official DPS 2019-20 context.</t>
        </is>
      </c>
      <c r="I7" s="10" t="inlineStr">
        <is>
          <t>https://www.finance.gov.pk/publications/DPS_2019_2020.pdf</t>
        </is>
      </c>
    </row>
    <row r="8">
      <c r="A8" t="inlineStr">
        <is>
          <t>FY2019-20</t>
        </is>
      </c>
      <c r="B8" t="inlineStr">
        <is>
          <t>Imran Khan</t>
        </is>
      </c>
      <c r="C8" s="5" t="n">
        <v>-0.47</v>
      </c>
      <c r="D8" s="6" t="n">
        <v>10.7</v>
      </c>
      <c r="E8" s="7" t="n">
        <v>36399</v>
      </c>
      <c r="F8" s="6" t="n">
        <v>76.59999999999999</v>
      </c>
      <c r="G8" s="8" t="n"/>
      <c r="H8" s="9" t="inlineStr">
        <is>
          <t>COVID year; growth from Economic Survey 2020-21 back-series.</t>
        </is>
      </c>
      <c r="I8" s="10" t="inlineStr">
        <is>
          <t>https://www.finance.gov.pk/survey/chapters_21/01-Growth.pdf</t>
        </is>
      </c>
    </row>
    <row r="9">
      <c r="A9" t="inlineStr">
        <is>
          <t>FY2020-21</t>
        </is>
      </c>
      <c r="B9" t="inlineStr">
        <is>
          <t>Imran Khan</t>
        </is>
      </c>
      <c r="C9" s="5" t="n">
        <v>3.94</v>
      </c>
      <c r="D9" s="6" t="n">
        <v>8.9</v>
      </c>
      <c r="E9" s="7" t="n">
        <v>39866</v>
      </c>
      <c r="F9" s="6" t="n">
        <v>71.5</v>
      </c>
      <c r="G9" s="8" t="n"/>
      <c r="H9" s="9" t="inlineStr">
        <is>
          <t>Growth from Economic Survey 2020-21; debt series compiled from debt reviews.</t>
        </is>
      </c>
      <c r="I9" s="10" t="inlineStr">
        <is>
          <t>https://www.finance.gov.pk/survey/chapters_21/01-Growth.pdf</t>
        </is>
      </c>
    </row>
    <row r="10">
      <c r="A10" t="inlineStr">
        <is>
          <t>FY2021-22</t>
        </is>
      </c>
      <c r="B10" t="inlineStr">
        <is>
          <t>Imran Khan</t>
        </is>
      </c>
      <c r="C10" s="5" t="n">
        <v>5.97</v>
      </c>
      <c r="D10" s="6" t="n">
        <v>12.2</v>
      </c>
      <c r="E10" s="7" t="n">
        <v>49242</v>
      </c>
      <c r="F10" s="6" t="n">
        <v>73.90000000000001</v>
      </c>
      <c r="G10" s="8" t="n"/>
      <c r="H10" s="9" t="inlineStr">
        <is>
          <t>Official debt row surfaced in Debt Policy Statement January 2024 / 2023 review.</t>
        </is>
      </c>
      <c r="I10" s="10" t="inlineStr">
        <is>
          <t>https://www.finance.gov.pk/publications/DPS_2023.pdf</t>
        </is>
      </c>
    </row>
    <row r="11">
      <c r="A11" t="inlineStr">
        <is>
          <t>FY2022-23</t>
        </is>
      </c>
      <c r="B11" t="inlineStr">
        <is>
          <t>Shehbaz Sharif</t>
        </is>
      </c>
      <c r="C11" s="5" t="n">
        <v>-0.21</v>
      </c>
      <c r="D11" s="6" t="n">
        <v>29.2</v>
      </c>
      <c r="E11" s="7" t="n">
        <v>62881</v>
      </c>
      <c r="F11" s="6" t="n">
        <v>74.8</v>
      </c>
      <c r="G11" s="8" t="n">
        <v>-3.3</v>
      </c>
      <c r="H11" s="9" t="inlineStr">
        <is>
          <t>FY23 crisis/flood year.</t>
        </is>
      </c>
      <c r="I11" s="10" t="inlineStr">
        <is>
          <t>https://www.finance.gov.pk/publications/DPS_2024.pdf</t>
        </is>
      </c>
    </row>
    <row r="12">
      <c r="A12" t="inlineStr">
        <is>
          <t>FY2023-24</t>
        </is>
      </c>
      <c r="B12" t="inlineStr">
        <is>
          <t>Shehbaz Sharif</t>
        </is>
      </c>
      <c r="C12" s="5" t="n">
        <v>2.38</v>
      </c>
      <c r="D12" s="6" t="n">
        <v>23.4</v>
      </c>
      <c r="E12" s="7" t="n">
        <v>71246</v>
      </c>
      <c r="F12" s="6" t="n">
        <v>67.8</v>
      </c>
      <c r="G12" s="8" t="n">
        <v>-2.1</v>
      </c>
      <c r="H12" s="9" t="inlineStr">
        <is>
          <t>Debt stock aligned to FY24 debt review / summary series.</t>
        </is>
      </c>
      <c r="I12" s="10" t="inlineStr">
        <is>
          <t>https://www.finance.gov.pk/dpco/Annual_Debt_Review_FY24.pdf</t>
        </is>
      </c>
    </row>
    <row r="13">
      <c r="A13" t="inlineStr">
        <is>
          <t>FY2024-25</t>
        </is>
      </c>
      <c r="B13" t="inlineStr">
        <is>
          <t>Shehbaz Sharif</t>
        </is>
      </c>
      <c r="C13" s="5" t="n">
        <v>2.68</v>
      </c>
      <c r="D13" s="6" t="n">
        <v>4.5</v>
      </c>
      <c r="E13" s="7" t="n">
        <v>80518</v>
      </c>
      <c r="F13" s="6" t="n">
        <v>70</v>
      </c>
      <c r="G13" s="8" t="n">
        <v>2.1</v>
      </c>
      <c r="H13" s="9" t="inlineStr">
        <is>
          <t>FY25 stabilization year.</t>
        </is>
      </c>
      <c r="I13" s="10" t="inlineStr">
        <is>
          <t>https://www.finance.gov.pk/dpco/annual_debt_review_2025.pdf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6" customWidth="1" min="3" max="3"/>
    <col width="18" customWidth="1" min="4" max="4"/>
    <col width="15" customWidth="1" min="5" max="5"/>
    <col width="62" customWidth="1" min="6" max="6"/>
    <col width="70" customWidth="1" min="7" max="7"/>
    <col width="18" customWidth="1" min="9" max="9"/>
  </cols>
  <sheetData>
    <row r="1">
      <c r="A1" s="4" t="inlineStr">
        <is>
          <t>Approval / FY</t>
        </is>
      </c>
      <c r="B1" s="4" t="inlineStr">
        <is>
          <t>Program / Facility</t>
        </is>
      </c>
      <c r="C1" s="4" t="inlineStr">
        <is>
          <t>Lender</t>
        </is>
      </c>
      <c r="D1" s="4" t="inlineStr">
        <is>
          <t>Commitment (SDR bn)</t>
        </is>
      </c>
      <c r="E1" s="4" t="inlineStr">
        <is>
          <t>Approx. USD bn</t>
        </is>
      </c>
      <c r="F1" s="4" t="inlineStr">
        <is>
          <t>Purpose / Where used</t>
        </is>
      </c>
      <c r="G1" s="4" t="inlineStr">
        <is>
          <t>Source URL</t>
        </is>
      </c>
      <c r="I1" s="11" t="inlineStr">
        <is>
          <t>Total approx. USD bn</t>
        </is>
      </c>
    </row>
    <row r="2">
      <c r="A2" t="inlineStr">
        <is>
          <t>Sep 2013</t>
        </is>
      </c>
      <c r="B2" t="inlineStr">
        <is>
          <t>Extended Fund Facility (EFF)</t>
        </is>
      </c>
      <c r="C2" t="inlineStr">
        <is>
          <t>IMF</t>
        </is>
      </c>
      <c r="D2" s="12" t="n">
        <v>4.393</v>
      </c>
      <c r="E2" s="6" t="n">
        <v>6.7</v>
      </c>
      <c r="F2" t="inlineStr">
        <is>
          <t>Balance-of-payments support; reserves/budget stabilization, fiscal and structural reform.</t>
        </is>
      </c>
      <c r="G2" s="10" t="inlineStr">
        <is>
          <t>https://www.imf.org/external/pubs/ft/scr/2013/cr13287.pdf</t>
        </is>
      </c>
      <c r="I2" s="13">
        <f>SUM(E2:E7)</f>
        <v/>
      </c>
    </row>
    <row r="3">
      <c r="A3" t="inlineStr">
        <is>
          <t>Jul 2019</t>
        </is>
      </c>
      <c r="B3" t="inlineStr">
        <is>
          <t>Extended Fund Facility (EFF)</t>
        </is>
      </c>
      <c r="C3" t="inlineStr">
        <is>
          <t>IMF</t>
        </is>
      </c>
      <c r="D3" s="12" t="n">
        <v>4.268</v>
      </c>
      <c r="E3" s="6" t="n">
        <v>6</v>
      </c>
      <c r="F3" t="inlineStr">
        <is>
          <t>Budgetary resource / macro stabilization under reform program.</t>
        </is>
      </c>
      <c r="G3" s="10" t="inlineStr">
        <is>
          <t>https://www.imf.org/en/news/articles/2021/03/24/pr2183-pakistan-imf-executive-board-completes-the-combined-2nd-3rd-4th-5th-reviews-of-the-eff</t>
        </is>
      </c>
    </row>
    <row r="4">
      <c r="A4" t="inlineStr">
        <is>
          <t>Jul 2023</t>
        </is>
      </c>
      <c r="B4" t="inlineStr">
        <is>
          <t>Stand-By Arrangement (SBA)</t>
        </is>
      </c>
      <c r="C4" t="inlineStr">
        <is>
          <t>IMF</t>
        </is>
      </c>
      <c r="D4" s="12" t="n">
        <v>2.25</v>
      </c>
      <c r="E4" s="6" t="n">
        <v>3</v>
      </c>
      <c r="F4" t="inlineStr">
        <is>
          <t>Emergency stabilization / near-default avoidance / external financing gap.</t>
        </is>
      </c>
      <c r="G4" s="10" t="inlineStr">
        <is>
          <t>https://www.imf.org/en/countries/pak/faq</t>
        </is>
      </c>
    </row>
    <row r="5">
      <c r="A5" t="inlineStr">
        <is>
          <t>Sep 2024</t>
        </is>
      </c>
      <c r="B5" t="inlineStr">
        <is>
          <t>Extended Fund Facility (EFF)</t>
        </is>
      </c>
      <c r="C5" t="inlineStr">
        <is>
          <t>IMF</t>
        </is>
      </c>
      <c r="D5" s="12" t="n">
        <v>5.32</v>
      </c>
      <c r="E5" s="6" t="n">
        <v>7</v>
      </c>
      <c r="F5" t="inlineStr">
        <is>
          <t>Medium-term stabilization, tax/energy reforms, reserve support.</t>
        </is>
      </c>
      <c r="G5" s="10" t="inlineStr">
        <is>
          <t>https://www.imf.org/en/countries/pak/faq</t>
        </is>
      </c>
    </row>
    <row r="6">
      <c r="A6" t="inlineStr">
        <is>
          <t>May 2025</t>
        </is>
      </c>
      <c r="B6" t="inlineStr">
        <is>
          <t>Resilience and Sustainability Facility (RSF)</t>
        </is>
      </c>
      <c r="C6" t="inlineStr">
        <is>
          <t>IMF</t>
        </is>
      </c>
      <c r="D6" s="12" t="n">
        <v>1</v>
      </c>
      <c r="E6" s="6" t="n">
        <v>1.4</v>
      </c>
      <c r="F6" t="inlineStr">
        <is>
          <t>Climate and resilience reforms alongside the EFF.</t>
        </is>
      </c>
      <c r="G6" s="10" t="inlineStr">
        <is>
          <t>https://www.imf.org/en/news/articles/2025/05/09/pr-25137-pakistan-imf-completes-1st-rev-of-eff-arrang-and-approves-req-for-arrang-under-rsf</t>
        </is>
      </c>
    </row>
    <row r="7">
      <c r="A7" t="inlineStr">
        <is>
          <t>Jun 2025</t>
        </is>
      </c>
      <c r="B7" t="inlineStr">
        <is>
          <t>Islamic finance facility for circular debt</t>
        </is>
      </c>
      <c r="C7" t="inlineStr">
        <is>
          <t>18 local commercial banks</t>
        </is>
      </c>
      <c r="D7" s="12" t="n"/>
      <c r="E7" s="6" t="n">
        <v>4.5</v>
      </c>
      <c r="F7" t="inlineStr">
        <is>
          <t>Used to address power-sector circular debt; repayable over 6 years, quarterly installments.</t>
        </is>
      </c>
      <c r="G7" s="10" t="inlineStr">
        <is>
          <t>https://www.reuters.com/sustainability/boards-policy-regulation/pakistan-signs-45-billion-loans-with-local-banks-ease-power-sector-debt-2025-06-20/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3" customWidth="1" min="3" max="3"/>
    <col width="20" customWidth="1" min="4" max="4"/>
    <col width="18" customWidth="1" min="5" max="5"/>
    <col width="60" customWidth="1" min="6" max="6"/>
    <col width="62" customWidth="1" min="7" max="7"/>
    <col width="20" customWidth="1" min="9" max="9"/>
  </cols>
  <sheetData>
    <row r="1">
      <c r="A1" s="4" t="inlineStr">
        <is>
          <t>FY</t>
        </is>
      </c>
      <c r="B1" s="4" t="inlineStr">
        <is>
          <t>Source Type / Creditor</t>
        </is>
      </c>
      <c r="C1" s="4" t="inlineStr">
        <is>
          <t>Inflows / Disbursements (USD mn)</t>
        </is>
      </c>
      <c r="D1" s="4" t="inlineStr">
        <is>
          <t>Repayments (USD mn)</t>
        </is>
      </c>
      <c r="E1" s="4" t="inlineStr">
        <is>
          <t>Interest (USD mn)</t>
        </is>
      </c>
      <c r="F1" s="4" t="inlineStr">
        <is>
          <t>Notes</t>
        </is>
      </c>
      <c r="G1" s="4" t="inlineStr">
        <is>
          <t>Source URL</t>
        </is>
      </c>
      <c r="I1" s="11" t="inlineStr">
        <is>
          <t>FY22 total inflows</t>
        </is>
      </c>
    </row>
    <row r="2">
      <c r="A2" t="inlineStr">
        <is>
          <t>FY2016-17</t>
        </is>
      </c>
      <c r="B2" t="inlineStr">
        <is>
          <t>ADB</t>
        </is>
      </c>
      <c r="C2" s="7" t="n">
        <v>1495</v>
      </c>
      <c r="D2" s="7" t="n"/>
      <c r="E2" s="7" t="n"/>
      <c r="F2" t="inlineStr">
        <is>
          <t>Official creditor-wise disbursement detail.</t>
        </is>
      </c>
      <c r="G2" s="10" t="inlineStr">
        <is>
          <t>https://www.finance.gov.pk/publications/DPS_2017_18.pdf</t>
        </is>
      </c>
      <c r="I2" s="14">
        <f>SUM(C13:C16)</f>
        <v/>
      </c>
    </row>
    <row r="3">
      <c r="A3" t="inlineStr">
        <is>
          <t>FY2016-17</t>
        </is>
      </c>
      <c r="B3" t="inlineStr">
        <is>
          <t>IDA</t>
        </is>
      </c>
      <c r="C3" s="7" t="n">
        <v>665</v>
      </c>
      <c r="D3" s="7" t="n"/>
      <c r="E3" s="7" t="n"/>
      <c r="F3" t="inlineStr">
        <is>
          <t>Official creditor-wise disbursement detail.</t>
        </is>
      </c>
      <c r="G3" s="10" t="inlineStr">
        <is>
          <t>https://www.finance.gov.pk/publications/DPS_2017_18.pdf</t>
        </is>
      </c>
    </row>
    <row r="4">
      <c r="A4" t="inlineStr">
        <is>
          <t>FY2016-17</t>
        </is>
      </c>
      <c r="B4" t="inlineStr">
        <is>
          <t>IsDB</t>
        </is>
      </c>
      <c r="C4" s="7" t="n">
        <v>618</v>
      </c>
      <c r="D4" s="7" t="n"/>
      <c r="E4" s="7" t="n"/>
      <c r="F4" t="inlineStr">
        <is>
          <t>Official creditor-wise disbursement detail.</t>
        </is>
      </c>
      <c r="G4" s="10" t="inlineStr">
        <is>
          <t>https://www.finance.gov.pk/publications/DPS_2017_18.pdf</t>
        </is>
      </c>
      <c r="I4" s="11" t="inlineStr">
        <is>
          <t>FY22 total servicing</t>
        </is>
      </c>
    </row>
    <row r="5">
      <c r="A5" t="inlineStr">
        <is>
          <t>FY2016-17</t>
        </is>
      </c>
      <c r="B5" t="inlineStr">
        <is>
          <t>IBRD</t>
        </is>
      </c>
      <c r="C5" s="7" t="n">
        <v>239</v>
      </c>
      <c r="D5" s="7" t="n"/>
      <c r="E5" s="7" t="n"/>
      <c r="F5" t="inlineStr">
        <is>
          <t>Official creditor-wise disbursement detail.</t>
        </is>
      </c>
      <c r="G5" s="10" t="inlineStr">
        <is>
          <t>https://www.finance.gov.pk/publications/DPS_2017_18.pdf</t>
        </is>
      </c>
      <c r="I5" s="14">
        <f>SUM(D13:D16)+SUM(E13:E16)</f>
        <v/>
      </c>
    </row>
    <row r="6">
      <c r="A6" t="inlineStr">
        <is>
          <t>FY2016-17</t>
        </is>
      </c>
      <c r="B6" t="inlineStr">
        <is>
          <t>IMF</t>
        </is>
      </c>
      <c r="C6" s="7" t="n">
        <v>102</v>
      </c>
      <c r="D6" s="7" t="n"/>
      <c r="E6" s="7" t="n"/>
      <c r="F6" t="inlineStr">
        <is>
          <t>Official creditor-wise disbursement detail.</t>
        </is>
      </c>
      <c r="G6" s="10" t="inlineStr">
        <is>
          <t>https://www.finance.gov.pk/publications/DPS_2017_18.pdf</t>
        </is>
      </c>
    </row>
    <row r="7">
      <c r="A7" t="inlineStr">
        <is>
          <t>FY2016-17</t>
        </is>
      </c>
      <c r="B7" t="inlineStr">
        <is>
          <t>China (bilateral)</t>
        </is>
      </c>
      <c r="C7" s="7" t="n">
        <v>1655</v>
      </c>
      <c r="D7" s="7" t="n"/>
      <c r="E7" s="7" t="n"/>
      <c r="F7" t="inlineStr">
        <is>
          <t>Official creditor-wise disbursement detail.</t>
        </is>
      </c>
      <c r="G7" s="10" t="inlineStr">
        <is>
          <t>https://www.finance.gov.pk/publications/DPS_2017_18.pdf</t>
        </is>
      </c>
      <c r="I7" s="11" t="inlineStr">
        <is>
          <t>FY23 total inflows</t>
        </is>
      </c>
    </row>
    <row r="8">
      <c r="A8" t="inlineStr">
        <is>
          <t>FY2016-17</t>
        </is>
      </c>
      <c r="B8" t="inlineStr">
        <is>
          <t>France (bilateral)</t>
        </is>
      </c>
      <c r="C8" s="7" t="n">
        <v>119</v>
      </c>
      <c r="D8" s="7" t="n"/>
      <c r="E8" s="7" t="n"/>
      <c r="F8" t="inlineStr">
        <is>
          <t>Official creditor-wise disbursement detail.</t>
        </is>
      </c>
      <c r="G8" s="10" t="inlineStr">
        <is>
          <t>https://www.finance.gov.pk/publications/DPS_2017_18.pdf</t>
        </is>
      </c>
      <c r="I8" s="14">
        <f>SUM(C17:C20)</f>
        <v/>
      </c>
    </row>
    <row r="9">
      <c r="A9" t="inlineStr">
        <is>
          <t>FY2016-17</t>
        </is>
      </c>
      <c r="B9" t="inlineStr">
        <is>
          <t>Saudi Arabia (bilateral)</t>
        </is>
      </c>
      <c r="C9" s="7" t="n">
        <v>69</v>
      </c>
      <c r="D9" s="7" t="n"/>
      <c r="E9" s="7" t="n"/>
      <c r="F9" t="inlineStr">
        <is>
          <t>Official creditor-wise disbursement detail.</t>
        </is>
      </c>
      <c r="G9" s="10" t="inlineStr">
        <is>
          <t>https://www.finance.gov.pk/publications/DPS_2017_18.pdf</t>
        </is>
      </c>
    </row>
    <row r="10">
      <c r="A10" t="inlineStr">
        <is>
          <t>FY2016-17</t>
        </is>
      </c>
      <c r="B10" t="inlineStr">
        <is>
          <t>Japan (bilateral)</t>
        </is>
      </c>
      <c r="C10" s="7" t="n">
        <v>53</v>
      </c>
      <c r="D10" s="7" t="n"/>
      <c r="E10" s="7" t="n"/>
      <c r="F10" t="inlineStr">
        <is>
          <t>Official creditor-wise disbursement detail.</t>
        </is>
      </c>
      <c r="G10" s="10" t="inlineStr">
        <is>
          <t>https://www.finance.gov.pk/publications/DPS_2017_18.pdf</t>
        </is>
      </c>
      <c r="I10" s="11" t="inlineStr">
        <is>
          <t>FY23 total servicing</t>
        </is>
      </c>
    </row>
    <row r="11">
      <c r="A11" t="inlineStr">
        <is>
          <t>FY2016-17</t>
        </is>
      </c>
      <c r="B11" t="inlineStr">
        <is>
          <t>Pakistan International Sukuk</t>
        </is>
      </c>
      <c r="C11" s="7" t="n">
        <v>1000</v>
      </c>
      <c r="D11" s="7" t="n"/>
      <c r="E11" s="7" t="n"/>
      <c r="F11" t="inlineStr">
        <is>
          <t>Official creditor-wise disbursement detail.</t>
        </is>
      </c>
      <c r="G11" s="10" t="inlineStr">
        <is>
          <t>https://www.finance.gov.pk/publications/DPS_2017_18.pdf</t>
        </is>
      </c>
      <c r="I11" s="14">
        <f>SUM(D17:D20)+SUM(E17:E20)</f>
        <v/>
      </c>
    </row>
    <row r="12">
      <c r="A12" t="inlineStr">
        <is>
          <t>FY2016-17</t>
        </is>
      </c>
      <c r="B12" t="inlineStr">
        <is>
          <t>Commercial banks total</t>
        </is>
      </c>
      <c r="C12" s="7" t="n">
        <v>4370</v>
      </c>
      <c r="D12" s="7" t="n"/>
      <c r="E12" s="7" t="n"/>
      <c r="F12" t="inlineStr">
        <is>
          <t>China Development Bank, SCB London, Suisse AG/UBL/ABL, Noor Bank, ICBC, Bank of China, Citibank.</t>
        </is>
      </c>
      <c r="G12" s="10" t="inlineStr">
        <is>
          <t>https://www.finance.gov.pk/publications/DPS_2017_18.pdf</t>
        </is>
      </c>
    </row>
    <row r="13">
      <c r="A13" t="inlineStr">
        <is>
          <t>FY2021-22</t>
        </is>
      </c>
      <c r="B13" t="inlineStr">
        <is>
          <t>Multilateral</t>
        </is>
      </c>
      <c r="C13" s="7" t="n">
        <v>5794</v>
      </c>
      <c r="D13" s="7" t="n">
        <v>3201</v>
      </c>
      <c r="E13" s="7" t="n">
        <v>614</v>
      </c>
      <c r="F13" t="inlineStr">
        <is>
          <t>FY22 external inflows and servicing from DPS Jan 2024.</t>
        </is>
      </c>
      <c r="G13" s="10" t="inlineStr">
        <is>
          <t>https://www.finance.gov.pk/publications/DPS_2024.pdf</t>
        </is>
      </c>
    </row>
    <row r="14">
      <c r="A14" t="inlineStr">
        <is>
          <t>FY2021-22</t>
        </is>
      </c>
      <c r="B14" t="inlineStr">
        <is>
          <t>Bilateral</t>
        </is>
      </c>
      <c r="C14" s="7" t="n">
        <v>3597</v>
      </c>
      <c r="D14" s="7" t="n">
        <v>1004</v>
      </c>
      <c r="E14" s="7" t="n">
        <v>358</v>
      </c>
      <c r="F14" t="inlineStr">
        <is>
          <t>FY22 external inflows and servicing from DPS Jan 2024.</t>
        </is>
      </c>
      <c r="G14" s="10" t="inlineStr">
        <is>
          <t>https://www.finance.gov.pk/publications/DPS_2024.pdf</t>
        </is>
      </c>
    </row>
    <row r="15">
      <c r="A15" t="inlineStr">
        <is>
          <t>FY2021-22</t>
        </is>
      </c>
      <c r="B15" t="inlineStr">
        <is>
          <t>Bonds</t>
        </is>
      </c>
      <c r="C15" s="7" t="n">
        <v>2000</v>
      </c>
      <c r="D15" s="7" t="n">
        <v>1000</v>
      </c>
      <c r="E15" s="7" t="n">
        <v>587</v>
      </c>
      <c r="F15" t="inlineStr">
        <is>
          <t>FY22 external inflows and servicing from DPS Jan 2024.</t>
        </is>
      </c>
      <c r="G15" s="10" t="inlineStr">
        <is>
          <t>https://www.finance.gov.pk/publications/DPS_2024.pdf</t>
        </is>
      </c>
    </row>
    <row r="16">
      <c r="A16" t="inlineStr">
        <is>
          <t>FY2021-22</t>
        </is>
      </c>
      <c r="B16" t="inlineStr">
        <is>
          <t>Commercial / Other</t>
        </is>
      </c>
      <c r="C16" s="7" t="n">
        <v>4863</v>
      </c>
      <c r="D16" s="7" t="n">
        <v>5797</v>
      </c>
      <c r="E16" s="7" t="n">
        <v>430</v>
      </c>
      <c r="F16" t="inlineStr">
        <is>
          <t>FY22 external inflows and servicing from DPS Jan 2024.</t>
        </is>
      </c>
      <c r="G16" s="10" t="inlineStr">
        <is>
          <t>https://www.finance.gov.pk/publications/DPS_2024.pdf</t>
        </is>
      </c>
    </row>
    <row r="17">
      <c r="A17" t="inlineStr">
        <is>
          <t>FY2022-23</t>
        </is>
      </c>
      <c r="B17" t="inlineStr">
        <is>
          <t>Multilateral</t>
        </is>
      </c>
      <c r="C17" s="7" t="n">
        <v>6309</v>
      </c>
      <c r="D17" s="7" t="n">
        <v>3995</v>
      </c>
      <c r="E17" s="7" t="n">
        <v>1209</v>
      </c>
      <c r="F17" t="inlineStr">
        <is>
          <t>ADB 2.3bn, World Bank 2.0bn, IMF 1.2bn per note.</t>
        </is>
      </c>
      <c r="G17" s="10" t="inlineStr">
        <is>
          <t>https://www.finance.gov.pk/publications/DPS_2024.pdf</t>
        </is>
      </c>
    </row>
    <row r="18">
      <c r="A18" t="inlineStr">
        <is>
          <t>FY2022-23</t>
        </is>
      </c>
      <c r="B18" t="inlineStr">
        <is>
          <t>Bilateral</t>
        </is>
      </c>
      <c r="C18" s="7" t="n">
        <v>1380</v>
      </c>
      <c r="D18" s="7" t="n">
        <v>2689</v>
      </c>
      <c r="E18" s="7" t="n">
        <v>772</v>
      </c>
      <c r="F18" t="inlineStr">
        <is>
          <t>~1.2bn attributed to Saudi Oil Facility.</t>
        </is>
      </c>
      <c r="G18" s="10" t="inlineStr">
        <is>
          <t>https://www.finance.gov.pk/publications/DPS_2024.pdf</t>
        </is>
      </c>
    </row>
    <row r="19">
      <c r="A19" t="inlineStr">
        <is>
          <t>FY2022-23</t>
        </is>
      </c>
      <c r="B19" t="inlineStr">
        <is>
          <t>Bonds</t>
        </is>
      </c>
      <c r="C19" s="7" t="n">
        <v>0</v>
      </c>
      <c r="D19" s="7" t="n">
        <v>1000</v>
      </c>
      <c r="E19" s="7" t="n">
        <v>611</v>
      </c>
      <c r="F19" t="inlineStr">
        <is>
          <t>No FY23 new bond inflow in source table.</t>
        </is>
      </c>
      <c r="G19" s="10" t="inlineStr">
        <is>
          <t>https://www.finance.gov.pk/publications/DPS_2024.pdf</t>
        </is>
      </c>
    </row>
    <row r="20">
      <c r="A20" t="inlineStr">
        <is>
          <t>FY2022-23</t>
        </is>
      </c>
      <c r="B20" t="inlineStr">
        <is>
          <t>Commercial / Other</t>
        </is>
      </c>
      <c r="C20" s="7" t="n">
        <v>2200</v>
      </c>
      <c r="D20" s="7" t="n">
        <v>7047</v>
      </c>
      <c r="E20" s="7" t="n">
        <v>497</v>
      </c>
      <c r="F20" t="inlineStr">
        <is>
          <t>FY23 commercial/other servicing remained heavy.</t>
        </is>
      </c>
      <c r="G20" s="10" t="inlineStr">
        <is>
          <t>https://www.finance.gov.pk/publications/DPS_2024.pdf</t>
        </is>
      </c>
    </row>
    <row r="21">
      <c r="A21" t="inlineStr">
        <is>
          <t>FY2024-25</t>
        </is>
      </c>
      <c r="B21" t="inlineStr">
        <is>
          <t>Multilateral + Commercial (qualitative)</t>
        </is>
      </c>
      <c r="C21" s="7" t="n"/>
      <c r="D21" s="7" t="n"/>
      <c r="E21" s="7" t="n"/>
      <c r="F21" t="inlineStr">
        <is>
          <t>MoF says most inflows came from multilateral and commercial sources; bilateral saw slight net retirement.</t>
        </is>
      </c>
      <c r="G21" s="10" t="inlineStr">
        <is>
          <t>https://www.finance.gov.pk/dpco/annual_debt_review_2025.pdf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5" customWidth="1" min="3" max="3"/>
    <col width="10" customWidth="1" min="4" max="4"/>
    <col width="42" customWidth="1" min="5" max="5"/>
    <col width="62" customWidth="1" min="6" max="6"/>
  </cols>
  <sheetData>
    <row r="1">
      <c r="A1" s="4" t="inlineStr">
        <is>
          <t>FY</t>
        </is>
      </c>
      <c r="B1" s="4" t="inlineStr">
        <is>
          <t>Metric</t>
        </is>
      </c>
      <c r="C1" s="4" t="inlineStr">
        <is>
          <t>Amount</t>
        </is>
      </c>
      <c r="D1" s="4" t="inlineStr">
        <is>
          <t>Units</t>
        </is>
      </c>
      <c r="E1" s="4" t="inlineStr">
        <is>
          <t>Notes</t>
        </is>
      </c>
      <c r="F1" s="4" t="inlineStr">
        <is>
          <t>Source URL</t>
        </is>
      </c>
    </row>
    <row r="2">
      <c r="A2" t="inlineStr">
        <is>
          <t>FY2016-17</t>
        </is>
      </c>
      <c r="B2" t="inlineStr">
        <is>
          <t>External public debt servicing</t>
        </is>
      </c>
      <c r="C2" s="7" t="n">
        <v>6440</v>
      </c>
      <c r="D2" t="inlineStr">
        <is>
          <t>USD mn</t>
        </is>
      </c>
      <c r="E2" t="inlineStr">
        <is>
          <t>MoF says servicing rose 48% YoY.</t>
        </is>
      </c>
      <c r="F2" s="10" t="inlineStr">
        <is>
          <t>https://www.finance.gov.pk/publications/DPS_2017_18.pdf</t>
        </is>
      </c>
    </row>
    <row r="3">
      <c r="A3" t="inlineStr">
        <is>
          <t>FY2021-22</t>
        </is>
      </c>
      <c r="B3" t="inlineStr">
        <is>
          <t>Total repayments</t>
        </is>
      </c>
      <c r="C3" s="7" t="n">
        <v>11002</v>
      </c>
      <c r="D3" t="inlineStr">
        <is>
          <t>USD mn</t>
        </is>
      </c>
      <c r="E3" t="inlineStr">
        <is>
          <t>External repayments from DPS Jan 2024 table.</t>
        </is>
      </c>
      <c r="F3" s="10" t="inlineStr">
        <is>
          <t>https://www.finance.gov.pk/publications/DPS_2024.pdf</t>
        </is>
      </c>
    </row>
    <row r="4">
      <c r="A4" t="inlineStr">
        <is>
          <t>FY2021-22</t>
        </is>
      </c>
      <c r="B4" t="inlineStr">
        <is>
          <t>Interest payments</t>
        </is>
      </c>
      <c r="C4" s="7" t="n">
        <v>1988</v>
      </c>
      <c r="D4" t="inlineStr">
        <is>
          <t>USD mn</t>
        </is>
      </c>
      <c r="E4" t="inlineStr">
        <is>
          <t>External interest from DPS Jan 2024 table.</t>
        </is>
      </c>
      <c r="F4" s="10" t="inlineStr">
        <is>
          <t>https://www.finance.gov.pk/publications/DPS_2024.pdf</t>
        </is>
      </c>
    </row>
    <row r="5">
      <c r="A5" t="inlineStr">
        <is>
          <t>FY2021-22</t>
        </is>
      </c>
      <c r="B5" t="inlineStr">
        <is>
          <t>Total debt servicing</t>
        </is>
      </c>
      <c r="C5" s="7" t="n">
        <v>12990</v>
      </c>
      <c r="D5" t="inlineStr">
        <is>
          <t>USD mn</t>
        </is>
      </c>
      <c r="E5" t="inlineStr">
        <is>
          <t>Repayments + interest.</t>
        </is>
      </c>
      <c r="F5" s="10" t="inlineStr">
        <is>
          <t>https://www.finance.gov.pk/publications/DPS_2024.pdf</t>
        </is>
      </c>
    </row>
    <row r="6">
      <c r="A6" t="inlineStr">
        <is>
          <t>FY2022-23</t>
        </is>
      </c>
      <c r="B6" t="inlineStr">
        <is>
          <t>Total repayments</t>
        </is>
      </c>
      <c r="C6" s="7" t="n">
        <v>14732</v>
      </c>
      <c r="D6" t="inlineStr">
        <is>
          <t>USD mn</t>
        </is>
      </c>
      <c r="E6" t="inlineStr">
        <is>
          <t>External repayments from DPS Jan 2024 table.</t>
        </is>
      </c>
      <c r="F6" s="10" t="inlineStr">
        <is>
          <t>https://www.finance.gov.pk/publications/DPS_2024.pdf</t>
        </is>
      </c>
    </row>
    <row r="7">
      <c r="A7" t="inlineStr">
        <is>
          <t>FY2022-23</t>
        </is>
      </c>
      <c r="B7" t="inlineStr">
        <is>
          <t>Interest payments</t>
        </is>
      </c>
      <c r="C7" s="7" t="n">
        <v>3088</v>
      </c>
      <c r="D7" t="inlineStr">
        <is>
          <t>USD mn</t>
        </is>
      </c>
      <c r="E7" t="inlineStr">
        <is>
          <t>External interest from DPS Jan 2024 table.</t>
        </is>
      </c>
      <c r="F7" s="10" t="inlineStr">
        <is>
          <t>https://www.finance.gov.pk/publications/DPS_2024.pdf</t>
        </is>
      </c>
    </row>
    <row r="8">
      <c r="A8" t="inlineStr">
        <is>
          <t>FY2022-23</t>
        </is>
      </c>
      <c r="B8" t="inlineStr">
        <is>
          <t>Total debt servicing</t>
        </is>
      </c>
      <c r="C8" s="7" t="n">
        <v>17820</v>
      </c>
      <c r="D8" t="inlineStr">
        <is>
          <t>USD mn</t>
        </is>
      </c>
      <c r="E8" t="inlineStr">
        <is>
          <t>Repayments + interest.</t>
        </is>
      </c>
      <c r="F8" s="10" t="inlineStr">
        <is>
          <t>https://www.finance.gov.pk/publications/DPS_2024.pdf</t>
        </is>
      </c>
    </row>
    <row r="9">
      <c r="A9" t="inlineStr">
        <is>
          <t>FY2024-25</t>
        </is>
      </c>
      <c r="B9" t="inlineStr">
        <is>
          <t>Federal interest expense</t>
        </is>
      </c>
      <c r="C9" s="7" t="n">
        <v>8887</v>
      </c>
      <c r="D9" t="inlineStr">
        <is>
          <t>PKR bn</t>
        </is>
      </c>
      <c r="E9" t="inlineStr">
        <is>
          <t>Annual Debt Review FY2025.</t>
        </is>
      </c>
      <c r="F9" s="10" t="inlineStr">
        <is>
          <t>https://www.finance.gov.pk/dpco/annual_debt_review_2025.pdf</t>
        </is>
      </c>
    </row>
    <row r="10">
      <c r="A10" t="inlineStr">
        <is>
          <t>FY2024-25</t>
        </is>
      </c>
      <c r="B10" t="inlineStr">
        <is>
          <t>Federal fiscal deficit</t>
        </is>
      </c>
      <c r="C10" s="7" t="n">
        <v>7089</v>
      </c>
      <c r="D10" t="inlineStr">
        <is>
          <t>PKR bn</t>
        </is>
      </c>
      <c r="E10" t="inlineStr">
        <is>
          <t>Annual Debt Review FY2025.</t>
        </is>
      </c>
      <c r="F10" s="10" t="inlineStr">
        <is>
          <t>https://www.finance.gov.pk/dpco/annual_debt_review_2025.pdf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2" customWidth="1" min="5" max="5"/>
    <col width="12" customWidth="1" min="6" max="6"/>
    <col width="46" customWidth="1" min="7" max="7"/>
    <col width="22" customWidth="1" min="9" max="9"/>
  </cols>
  <sheetData>
    <row r="1">
      <c r="A1" s="4" t="inlineStr">
        <is>
          <t>Tenure</t>
        </is>
      </c>
      <c r="B1" s="4" t="inlineStr">
        <is>
          <t>Avg GDP Growth (%)</t>
        </is>
      </c>
      <c r="C1" s="4" t="inlineStr">
        <is>
          <t>Avg Inflation (%)</t>
        </is>
      </c>
      <c r="D1" s="4" t="inlineStr">
        <is>
          <t>Debt Increase (PKR bn)</t>
        </is>
      </c>
      <c r="E1" s="4" t="inlineStr">
        <is>
          <t>Start FY</t>
        </is>
      </c>
      <c r="F1" s="4" t="inlineStr">
        <is>
          <t>End FY</t>
        </is>
      </c>
      <c r="G1" s="4" t="inlineStr">
        <is>
          <t>Comment</t>
        </is>
      </c>
      <c r="I1" s="11" t="inlineStr">
        <is>
          <t>Best growth</t>
        </is>
      </c>
    </row>
    <row r="2">
      <c r="A2" t="inlineStr">
        <is>
          <t>Nawaz / PML-N</t>
        </is>
      </c>
      <c r="B2" s="15">
        <f>AVERAGE('Yearly Macro'!C2:C6)</f>
        <v/>
      </c>
      <c r="C2" s="15">
        <f>AVERAGE('Yearly Macro'!D2:D6)</f>
        <v/>
      </c>
      <c r="D2" s="16">
        <f>'Yearly Macro'!E6-'Yearly Macro'!E2</f>
        <v/>
      </c>
      <c r="E2" t="inlineStr">
        <is>
          <t>FY2013-14</t>
        </is>
      </c>
      <c r="F2" t="inlineStr">
        <is>
          <t>FY2017-18</t>
        </is>
      </c>
      <c r="G2" t="inlineStr">
        <is>
          <t>Strongest growth period; external vulnerabilities built up by end.</t>
        </is>
      </c>
      <c r="I2" s="2">
        <f>INDEX(A2:A4,MATCH(MAX(B2:B4),B2:B4,0))</f>
        <v/>
      </c>
    </row>
    <row r="3">
      <c r="A3" t="inlineStr">
        <is>
          <t>Imran Khan</t>
        </is>
      </c>
      <c r="B3" s="15">
        <f>AVERAGE('Yearly Macro'!C7:C10)</f>
        <v/>
      </c>
      <c r="C3" s="15">
        <f>AVERAGE('Yearly Macro'!D7:D10)</f>
        <v/>
      </c>
      <c r="D3" s="16">
        <f>'Yearly Macro'!E10-'Yearly Macro'!E7</f>
        <v/>
      </c>
      <c r="E3" t="inlineStr">
        <is>
          <t>FY2018-19</t>
        </is>
      </c>
      <c r="F3" t="inlineStr">
        <is>
          <t>FY2021-22</t>
        </is>
      </c>
      <c r="G3" t="inlineStr">
        <is>
          <t>Growth was volatile: slowdown, COVID contraction, rebound.</t>
        </is>
      </c>
    </row>
    <row r="4">
      <c r="A4" t="inlineStr">
        <is>
          <t>Shehbaz Sharif</t>
        </is>
      </c>
      <c r="B4" s="15">
        <f>AVERAGE('Yearly Macro'!C11:C13)</f>
        <v/>
      </c>
      <c r="C4" s="15">
        <f>AVERAGE('Yearly Macro'!D11:D13)</f>
        <v/>
      </c>
      <c r="D4" s="16">
        <f>'Yearly Macro'!E13-'Yearly Macro'!E11</f>
        <v/>
      </c>
      <c r="E4" t="inlineStr">
        <is>
          <t>FY2022-23</t>
        </is>
      </c>
      <c r="F4" t="inlineStr">
        <is>
          <t>FY2024-25</t>
        </is>
      </c>
      <c r="G4" t="inlineStr">
        <is>
          <t>Stabilization improved by FY25, but debt kept climbing.</t>
        </is>
      </c>
      <c r="I4" s="11" t="inlineStr">
        <is>
          <t>Largest debt increase</t>
        </is>
      </c>
    </row>
    <row r="5">
      <c r="I5" s="2">
        <f>INDEX(A2:A4,MATCH(MAX(D2:D4),D2:D4,0))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70" customWidth="1" min="5" max="5"/>
    <col width="62" customWidth="1" min="6" max="6"/>
  </cols>
  <sheetData>
    <row r="1">
      <c r="A1" s="4" t="inlineStr">
        <is>
          <t>Province</t>
        </is>
      </c>
      <c r="B1" s="4" t="inlineStr">
        <is>
          <t>Latest verified snapshot</t>
        </is>
      </c>
      <c r="C1" s="4" t="inlineStr">
        <is>
          <t>Debt / Change</t>
        </is>
      </c>
      <c r="D1" s="4" t="inlineStr">
        <is>
          <t>Servicing / Risk metric</t>
        </is>
      </c>
      <c r="E1" s="4" t="inlineStr">
        <is>
          <t>Where loans are going / notes</t>
        </is>
      </c>
      <c r="F1" s="4" t="inlineStr">
        <is>
          <t>Source URL</t>
        </is>
      </c>
    </row>
    <row r="2">
      <c r="A2" t="inlineStr">
        <is>
          <t>Punjab</t>
        </is>
      </c>
      <c r="B2" t="inlineStr">
        <is>
          <t>June 2025 debt bulletin</t>
        </is>
      </c>
      <c r="C2" t="inlineStr">
        <is>
          <t>PKR 1,757.2 bn debt stock</t>
        </is>
      </c>
      <c r="D2" t="inlineStr">
        <is>
          <t>FY2024-25 servicing PKR 156.4 bn</t>
        </is>
      </c>
      <c r="E2" t="inlineStr">
        <is>
          <t>Mostly provincial debt portfolio; bulletins separate domestic/external debt and commodity operations influence older years.</t>
        </is>
      </c>
      <c r="F2" s="10" t="inlineStr">
        <is>
          <t>https://finance.punjab.gov.pk/details/debt-bulletins</t>
        </is>
      </c>
    </row>
    <row r="3">
      <c r="A3" t="inlineStr">
        <is>
          <t>Sindh</t>
        </is>
      </c>
      <c r="B3" t="inlineStr">
        <is>
          <t>June 2025 debt bulletin</t>
        </is>
      </c>
      <c r="C3" t="inlineStr">
        <is>
          <t>FY2024-25 debt increase PKR 284.951 bn</t>
        </is>
      </c>
      <c r="D3" t="inlineStr">
        <is>
          <t>FY2024-25 debt servicing PKR 71.38 bn</t>
        </is>
      </c>
      <c r="E3" t="inlineStr">
        <is>
          <t>Project-linked external loans incl. Karachi, education, health, water, waste, roads, agriculture; lenders include IDA/IBRD, ADB, AFD, IsDB, AIIB.</t>
        </is>
      </c>
      <c r="F3" s="10" t="inlineStr">
        <is>
          <t>https://finance.gos.pk/Home/Download?path=SpecializedUnits%2FDMU%2FDEBT+BULLETIN+30-06-25.pdf</t>
        </is>
      </c>
    </row>
    <row r="4">
      <c r="A4" t="inlineStr">
        <is>
          <t>Khyber Pakhtunkhwa</t>
        </is>
      </c>
      <c r="B4" t="inlineStr">
        <is>
          <t>FY2024-25 fiscal risk statement</t>
        </is>
      </c>
      <c r="C4" t="inlineStr">
        <is>
          <t>Outstanding debt = 51.9% of total revenue</t>
        </is>
      </c>
      <c r="D4" t="inlineStr">
        <is>
          <t>Debt servicing = 4.1% of total revenue</t>
        </is>
      </c>
      <c r="E4" t="inlineStr">
        <is>
          <t>Risk reporting is ratio-based in available official snippet rather than one headline stock figure.</t>
        </is>
      </c>
      <c r="F4" s="10" t="inlineStr">
        <is>
          <t>https://www.pakp.gov.pk/wp-content/uploads/2025/06/dd-KP-Fiscal-Risk-Statement-FY2024-25.pdf</t>
        </is>
      </c>
    </row>
    <row r="5">
      <c r="A5" t="inlineStr">
        <is>
          <t>Balochistan</t>
        </is>
      </c>
      <c r="B5" t="inlineStr">
        <is>
          <t>2025-26 annual budget statement / debt policy</t>
        </is>
      </c>
      <c r="C5" t="inlineStr">
        <is>
          <t>Movement schedule of debt balances by development partner disclosed</t>
        </is>
      </c>
      <c r="D5" t="inlineStr">
        <is>
          <t>Headline stock not surfaced cleanly in search snippet</t>
        </is>
      </c>
      <c r="E5" t="inlineStr">
        <is>
          <t>Official docs show debt scheduling and a foreign debt management policy; use province's finance site for latest table extraction.</t>
        </is>
      </c>
      <c r="F5" s="10" t="inlineStr">
        <is>
          <t>https://www.finance.gob.pk/wp-content/uploads/2025/07/ABS-2025-26.pdf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8" customWidth="1" min="4" max="4"/>
    <col width="13" customWidth="1" min="5" max="5"/>
    <col width="20" customWidth="1" min="6" max="6"/>
    <col width="56" customWidth="1" min="7" max="7"/>
    <col width="60" customWidth="1" min="8" max="8"/>
    <col width="24" customWidth="1" min="10" max="10"/>
    <col width="16" customWidth="1" min="11" max="11"/>
  </cols>
  <sheetData>
    <row r="1">
      <c r="A1" s="25" t="inlineStr">
        <is>
          <t>Nawaz political tenure sheet</t>
        </is>
      </c>
    </row>
    <row r="2">
      <c r="A2" s="3" t="inlineStr">
        <is>
          <t>Covers FY2013-14 through FY2017-18. This groups Nawaz Sharif / PML-N-era fiscal years for political comparison.</t>
        </is>
      </c>
    </row>
    <row r="4">
      <c r="A4" s="4" t="inlineStr">
        <is>
          <t>Fiscal Year</t>
        </is>
      </c>
      <c r="B4" s="4" t="inlineStr">
        <is>
          <t>Real GDP Growth (%)</t>
        </is>
      </c>
      <c r="C4" s="4" t="inlineStr">
        <is>
          <t>Inflation (%)</t>
        </is>
      </c>
      <c r="D4" s="4" t="inlineStr">
        <is>
          <t>Public Debt (PKR bn)</t>
        </is>
      </c>
      <c r="E4" s="4" t="inlineStr">
        <is>
          <t>Debt/GDP (%)</t>
        </is>
      </c>
      <c r="F4" s="4" t="inlineStr">
        <is>
          <t>Current Account (USD bn)</t>
        </is>
      </c>
      <c r="G4" s="4" t="inlineStr">
        <is>
          <t>Data note</t>
        </is>
      </c>
      <c r="H4" s="4" t="inlineStr">
        <is>
          <t>Source URL</t>
        </is>
      </c>
      <c r="J4" s="4" t="inlineStr">
        <is>
          <t>KPI</t>
        </is>
      </c>
      <c r="K4" s="4" t="inlineStr">
        <is>
          <t>Value</t>
        </is>
      </c>
    </row>
    <row r="5">
      <c r="A5" t="inlineStr">
        <is>
          <t>FY2013-14</t>
        </is>
      </c>
      <c r="B5" s="8">
        <f>'Yearly Macro'!C2</f>
        <v/>
      </c>
      <c r="C5" s="8">
        <f>'Yearly Macro'!D2</f>
        <v/>
      </c>
      <c r="D5" s="7">
        <f>'Yearly Macro'!E2</f>
        <v/>
      </c>
      <c r="E5" s="8">
        <f>'Yearly Macro'!F2</f>
        <v/>
      </c>
      <c r="F5" s="8">
        <f>'Yearly Macro'!G2</f>
        <v/>
      </c>
      <c r="G5" s="9" t="inlineStr">
        <is>
          <t>Growth &amp; inflation from official year books/surveys; debt from MoF debt statement surfaced in official debt docs.</t>
        </is>
      </c>
      <c r="H5" s="10" t="inlineStr">
        <is>
          <t>https://www.finance.gov.pk/publications/YearBook2013_14.pdf</t>
        </is>
      </c>
      <c r="J5" s="11" t="inlineStr">
        <is>
          <t>Average GDP Growth (%)</t>
        </is>
      </c>
      <c r="K5" s="26">
        <f>AVERAGE(B5:B9)</f>
        <v/>
      </c>
    </row>
    <row r="6">
      <c r="A6" t="inlineStr">
        <is>
          <t>FY2014-15</t>
        </is>
      </c>
      <c r="B6" s="8">
        <f>'Yearly Macro'!C3</f>
        <v/>
      </c>
      <c r="C6" s="8">
        <f>'Yearly Macro'!D3</f>
        <v/>
      </c>
      <c r="D6" s="7">
        <f>'Yearly Macro'!E3</f>
        <v/>
      </c>
      <c r="E6" s="8">
        <f>'Yearly Macro'!F3</f>
        <v/>
      </c>
      <c r="F6" s="8">
        <f>'Yearly Macro'!G3</f>
        <v/>
      </c>
      <c r="G6" s="9" t="inlineStr">
        <is>
          <t>Current-account figure shown for Jul-Apr in survey highlights; use with care.</t>
        </is>
      </c>
      <c r="H6" s="10" t="inlineStr">
        <is>
          <t>https://www.finance.gov.pk/publications/YearBook2014_15.pdf</t>
        </is>
      </c>
      <c r="J6" s="11" t="inlineStr">
        <is>
          <t>Average Inflation (%)</t>
        </is>
      </c>
      <c r="K6" s="26">
        <f>AVERAGE(C5:C9)</f>
        <v/>
      </c>
    </row>
    <row r="7">
      <c r="A7" t="inlineStr">
        <is>
          <t>FY2015-16</t>
        </is>
      </c>
      <c r="B7" s="8">
        <f>'Yearly Macro'!C4</f>
        <v/>
      </c>
      <c r="C7" s="8">
        <f>'Yearly Macro'!D4</f>
        <v/>
      </c>
      <c r="D7" s="7">
        <f>'Yearly Macro'!E4</f>
        <v/>
      </c>
      <c r="E7" s="8">
        <f>'Yearly Macro'!F4</f>
        <v/>
      </c>
      <c r="F7" s="8">
        <f>'Yearly Macro'!G4</f>
        <v/>
      </c>
      <c r="G7" s="9" t="inlineStr">
        <is>
          <t>Debt row compiled to maintain annual continuity; validate vs SBP summary for publication.</t>
        </is>
      </c>
      <c r="H7" s="10" t="inlineStr">
        <is>
          <t>https://www.finance.gov.pk/survey/chapters_16/highlights_2015_16.pdf</t>
        </is>
      </c>
      <c r="J7" s="11" t="inlineStr">
        <is>
          <t>Debt Increase (PKR bn)</t>
        </is>
      </c>
      <c r="K7" s="14">
        <f>D9-D5</f>
        <v/>
      </c>
    </row>
    <row r="8">
      <c r="A8" t="inlineStr">
        <is>
          <t>FY2016-17</t>
        </is>
      </c>
      <c r="B8" s="8">
        <f>'Yearly Macro'!C5</f>
        <v/>
      </c>
      <c r="C8" s="8">
        <f>'Yearly Macro'!D5</f>
        <v/>
      </c>
      <c r="D8" s="7">
        <f>'Yearly Macro'!E5</f>
        <v/>
      </c>
      <c r="E8" s="8">
        <f>'Yearly Macro'!F5</f>
        <v/>
      </c>
      <c r="F8" s="8">
        <f>'Yearly Macro'!G5</f>
        <v/>
      </c>
      <c r="G8" s="9" t="inlineStr">
        <is>
          <t>Official debt stock and GDP ratio from Debt Policy Statement 2017-18.</t>
        </is>
      </c>
      <c r="H8" s="10" t="inlineStr">
        <is>
          <t>https://www.finance.gov.pk/publications/DPS_2017_18.pdf</t>
        </is>
      </c>
      <c r="J8" s="11" t="inlineStr">
        <is>
          <t>Start Debt/GDP (%)</t>
        </is>
      </c>
      <c r="K8" s="26">
        <f>E5</f>
        <v/>
      </c>
    </row>
    <row r="9">
      <c r="A9" t="inlineStr">
        <is>
          <t>FY2017-18</t>
        </is>
      </c>
      <c r="B9" s="8">
        <f>'Yearly Macro'!C6</f>
        <v/>
      </c>
      <c r="C9" s="8">
        <f>'Yearly Macro'!D6</f>
        <v/>
      </c>
      <c r="D9" s="7">
        <f>'Yearly Macro'!E6</f>
        <v/>
      </c>
      <c r="E9" s="8">
        <f>'Yearly Macro'!F6</f>
        <v/>
      </c>
      <c r="F9" s="8">
        <f>'Yearly Macro'!G6</f>
        <v/>
      </c>
      <c r="G9" s="9" t="inlineStr">
        <is>
          <t>Debt ratio from DPS 2018-19; debt stock compiled for annual continuity.</t>
        </is>
      </c>
      <c r="H9" s="10" t="inlineStr">
        <is>
          <t>https://www.finance.gov.pk/publications/DPS_2018_19.pdf</t>
        </is>
      </c>
      <c r="J9" s="11" t="inlineStr">
        <is>
          <t>End Debt/GDP (%)</t>
        </is>
      </c>
      <c r="K9" s="26">
        <f>E9</f>
        <v/>
      </c>
    </row>
    <row r="10">
      <c r="J10" s="11" t="inlineStr">
        <is>
          <t>Years covered</t>
        </is>
      </c>
      <c r="K10" s="26">
        <f>ROWS(A5:A9)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8" customWidth="1" min="4" max="4"/>
    <col width="13" customWidth="1" min="5" max="5"/>
    <col width="20" customWidth="1" min="6" max="6"/>
    <col width="56" customWidth="1" min="7" max="7"/>
    <col width="60" customWidth="1" min="8" max="8"/>
    <col width="24" customWidth="1" min="10" max="10"/>
    <col width="16" customWidth="1" min="11" max="11"/>
  </cols>
  <sheetData>
    <row r="1">
      <c r="A1" s="25" t="inlineStr">
        <is>
          <t>Imran political tenure sheet</t>
        </is>
      </c>
    </row>
    <row r="2">
      <c r="A2" s="3" t="inlineStr">
        <is>
          <t>Covers FY2018-19 through FY2021-22. FY2021-22 is assigned to Imran Khan for majority-of-fiscal-year comparability.</t>
        </is>
      </c>
    </row>
    <row r="4">
      <c r="A4" s="4" t="inlineStr">
        <is>
          <t>Fiscal Year</t>
        </is>
      </c>
      <c r="B4" s="4" t="inlineStr">
        <is>
          <t>Real GDP Growth (%)</t>
        </is>
      </c>
      <c r="C4" s="4" t="inlineStr">
        <is>
          <t>Inflation (%)</t>
        </is>
      </c>
      <c r="D4" s="4" t="inlineStr">
        <is>
          <t>Public Debt (PKR bn)</t>
        </is>
      </c>
      <c r="E4" s="4" t="inlineStr">
        <is>
          <t>Debt/GDP (%)</t>
        </is>
      </c>
      <c r="F4" s="4" t="inlineStr">
        <is>
          <t>Current Account (USD bn)</t>
        </is>
      </c>
      <c r="G4" s="4" t="inlineStr">
        <is>
          <t>Data note</t>
        </is>
      </c>
      <c r="H4" s="4" t="inlineStr">
        <is>
          <t>Source URL</t>
        </is>
      </c>
      <c r="J4" s="4" t="inlineStr">
        <is>
          <t>KPI</t>
        </is>
      </c>
      <c r="K4" s="4" t="inlineStr">
        <is>
          <t>Value</t>
        </is>
      </c>
    </row>
    <row r="5">
      <c r="A5" t="inlineStr">
        <is>
          <t>FY2018-19</t>
        </is>
      </c>
      <c r="B5" s="8">
        <f>'Yearly Macro'!C7</f>
        <v/>
      </c>
      <c r="C5" s="8">
        <f>'Yearly Macro'!D7</f>
        <v/>
      </c>
      <c r="D5" s="7">
        <f>'Yearly Macro'!E7</f>
        <v/>
      </c>
      <c r="E5" s="8">
        <f>'Yearly Macro'!F7</f>
        <v/>
      </c>
      <c r="F5" s="8">
        <f>'Yearly Macro'!G7</f>
        <v/>
      </c>
      <c r="G5" s="9" t="inlineStr">
        <is>
          <t>Debt stock compiled; debt ratio from official DPS 2019-20 context.</t>
        </is>
      </c>
      <c r="H5" s="10" t="inlineStr">
        <is>
          <t>https://www.finance.gov.pk/publications/DPS_2019_2020.pdf</t>
        </is>
      </c>
      <c r="J5" s="11" t="inlineStr">
        <is>
          <t>Average GDP Growth (%)</t>
        </is>
      </c>
      <c r="K5" s="26">
        <f>AVERAGE(B5:B8)</f>
        <v/>
      </c>
    </row>
    <row r="6">
      <c r="A6" t="inlineStr">
        <is>
          <t>FY2019-20</t>
        </is>
      </c>
      <c r="B6" s="8">
        <f>'Yearly Macro'!C8</f>
        <v/>
      </c>
      <c r="C6" s="8">
        <f>'Yearly Macro'!D8</f>
        <v/>
      </c>
      <c r="D6" s="7">
        <f>'Yearly Macro'!E8</f>
        <v/>
      </c>
      <c r="E6" s="8">
        <f>'Yearly Macro'!F8</f>
        <v/>
      </c>
      <c r="F6" s="8">
        <f>'Yearly Macro'!G8</f>
        <v/>
      </c>
      <c r="G6" s="9" t="inlineStr">
        <is>
          <t>COVID year; growth from Economic Survey 2020-21 back-series.</t>
        </is>
      </c>
      <c r="H6" s="10" t="inlineStr">
        <is>
          <t>https://www.finance.gov.pk/survey/chapters_21/01-Growth.pdf</t>
        </is>
      </c>
      <c r="J6" s="11" t="inlineStr">
        <is>
          <t>Average Inflation (%)</t>
        </is>
      </c>
      <c r="K6" s="26">
        <f>AVERAGE(C5:C8)</f>
        <v/>
      </c>
    </row>
    <row r="7">
      <c r="A7" t="inlineStr">
        <is>
          <t>FY2020-21</t>
        </is>
      </c>
      <c r="B7" s="8">
        <f>'Yearly Macro'!C9</f>
        <v/>
      </c>
      <c r="C7" s="8">
        <f>'Yearly Macro'!D9</f>
        <v/>
      </c>
      <c r="D7" s="7">
        <f>'Yearly Macro'!E9</f>
        <v/>
      </c>
      <c r="E7" s="8">
        <f>'Yearly Macro'!F9</f>
        <v/>
      </c>
      <c r="F7" s="8">
        <f>'Yearly Macro'!G9</f>
        <v/>
      </c>
      <c r="G7" s="9" t="inlineStr">
        <is>
          <t>Growth from Economic Survey 2020-21; debt series compiled from debt reviews.</t>
        </is>
      </c>
      <c r="H7" s="10" t="inlineStr">
        <is>
          <t>https://www.finance.gov.pk/survey/chapters_21/01-Growth.pdf</t>
        </is>
      </c>
      <c r="J7" s="11" t="inlineStr">
        <is>
          <t>Debt Increase (PKR bn)</t>
        </is>
      </c>
      <c r="K7" s="14">
        <f>D8-D5</f>
        <v/>
      </c>
    </row>
    <row r="8">
      <c r="A8" t="inlineStr">
        <is>
          <t>FY2021-22</t>
        </is>
      </c>
      <c r="B8" s="8">
        <f>'Yearly Macro'!C10</f>
        <v/>
      </c>
      <c r="C8" s="8">
        <f>'Yearly Macro'!D10</f>
        <v/>
      </c>
      <c r="D8" s="7">
        <f>'Yearly Macro'!E10</f>
        <v/>
      </c>
      <c r="E8" s="8">
        <f>'Yearly Macro'!F10</f>
        <v/>
      </c>
      <c r="F8" s="8">
        <f>'Yearly Macro'!G10</f>
        <v/>
      </c>
      <c r="G8" s="9" t="inlineStr">
        <is>
          <t>Official debt row surfaced in Debt Policy Statement January 2024 / 2023 review.</t>
        </is>
      </c>
      <c r="H8" s="10" t="inlineStr">
        <is>
          <t>https://www.finance.gov.pk/publications/DPS_2023.pdf</t>
        </is>
      </c>
      <c r="J8" s="11" t="inlineStr">
        <is>
          <t>Start Debt/GDP (%)</t>
        </is>
      </c>
      <c r="K8" s="26">
        <f>E5</f>
        <v/>
      </c>
    </row>
    <row r="9">
      <c r="J9" s="11" t="inlineStr">
        <is>
          <t>End Debt/GDP (%)</t>
        </is>
      </c>
      <c r="K9" s="26">
        <f>E8</f>
        <v/>
      </c>
    </row>
    <row r="10">
      <c r="J10" s="11" t="inlineStr">
        <is>
          <t>Years covered</t>
        </is>
      </c>
      <c r="K10" s="26">
        <f>ROWS(A5:A8)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8" customWidth="1" min="4" max="4"/>
    <col width="13" customWidth="1" min="5" max="5"/>
    <col width="20" customWidth="1" min="6" max="6"/>
    <col width="56" customWidth="1" min="7" max="7"/>
    <col width="60" customWidth="1" min="8" max="8"/>
    <col width="24" customWidth="1" min="10" max="10"/>
    <col width="16" customWidth="1" min="11" max="11"/>
  </cols>
  <sheetData>
    <row r="1">
      <c r="A1" s="25" t="inlineStr">
        <is>
          <t>Shehbaz political tenure sheet</t>
        </is>
      </c>
    </row>
    <row r="2">
      <c r="A2" s="3" t="inlineStr">
        <is>
          <t>Covers FY2022-23 through FY2024-25. This is the stabilization-focused post-crisis period.</t>
        </is>
      </c>
    </row>
    <row r="4">
      <c r="A4" s="4" t="inlineStr">
        <is>
          <t>Fiscal Year</t>
        </is>
      </c>
      <c r="B4" s="4" t="inlineStr">
        <is>
          <t>Real GDP Growth (%)</t>
        </is>
      </c>
      <c r="C4" s="4" t="inlineStr">
        <is>
          <t>Inflation (%)</t>
        </is>
      </c>
      <c r="D4" s="4" t="inlineStr">
        <is>
          <t>Public Debt (PKR bn)</t>
        </is>
      </c>
      <c r="E4" s="4" t="inlineStr">
        <is>
          <t>Debt/GDP (%)</t>
        </is>
      </c>
      <c r="F4" s="4" t="inlineStr">
        <is>
          <t>Current Account (USD bn)</t>
        </is>
      </c>
      <c r="G4" s="4" t="inlineStr">
        <is>
          <t>Data note</t>
        </is>
      </c>
      <c r="H4" s="4" t="inlineStr">
        <is>
          <t>Source URL</t>
        </is>
      </c>
      <c r="J4" s="4" t="inlineStr">
        <is>
          <t>KPI</t>
        </is>
      </c>
      <c r="K4" s="4" t="inlineStr">
        <is>
          <t>Value</t>
        </is>
      </c>
    </row>
    <row r="5">
      <c r="A5" t="inlineStr">
        <is>
          <t>FY2022-23</t>
        </is>
      </c>
      <c r="B5" s="8">
        <f>'Yearly Macro'!C11</f>
        <v/>
      </c>
      <c r="C5" s="8">
        <f>'Yearly Macro'!D11</f>
        <v/>
      </c>
      <c r="D5" s="7">
        <f>'Yearly Macro'!E11</f>
        <v/>
      </c>
      <c r="E5" s="8">
        <f>'Yearly Macro'!F11</f>
        <v/>
      </c>
      <c r="F5" s="8">
        <f>'Yearly Macro'!G11</f>
        <v/>
      </c>
      <c r="G5" s="9" t="inlineStr">
        <is>
          <t>FY23 crisis/flood year.</t>
        </is>
      </c>
      <c r="H5" s="10" t="inlineStr">
        <is>
          <t>https://www.finance.gov.pk/publications/DPS_2024.pdf</t>
        </is>
      </c>
      <c r="J5" s="11" t="inlineStr">
        <is>
          <t>Average GDP Growth (%)</t>
        </is>
      </c>
      <c r="K5" s="26">
        <f>AVERAGE(B5:B7)</f>
        <v/>
      </c>
    </row>
    <row r="6">
      <c r="A6" t="inlineStr">
        <is>
          <t>FY2023-24</t>
        </is>
      </c>
      <c r="B6" s="8">
        <f>'Yearly Macro'!C12</f>
        <v/>
      </c>
      <c r="C6" s="8">
        <f>'Yearly Macro'!D12</f>
        <v/>
      </c>
      <c r="D6" s="7">
        <f>'Yearly Macro'!E12</f>
        <v/>
      </c>
      <c r="E6" s="8">
        <f>'Yearly Macro'!F12</f>
        <v/>
      </c>
      <c r="F6" s="8">
        <f>'Yearly Macro'!G12</f>
        <v/>
      </c>
      <c r="G6" s="9" t="inlineStr">
        <is>
          <t>Debt stock aligned to FY24 debt review / summary series.</t>
        </is>
      </c>
      <c r="H6" s="10" t="inlineStr">
        <is>
          <t>https://www.finance.gov.pk/dpco/Annual_Debt_Review_FY24.pdf</t>
        </is>
      </c>
      <c r="J6" s="11" t="inlineStr">
        <is>
          <t>Average Inflation (%)</t>
        </is>
      </c>
      <c r="K6" s="26">
        <f>AVERAGE(C5:C7)</f>
        <v/>
      </c>
    </row>
    <row r="7">
      <c r="A7" t="inlineStr">
        <is>
          <t>FY2024-25</t>
        </is>
      </c>
      <c r="B7" s="8">
        <f>'Yearly Macro'!C13</f>
        <v/>
      </c>
      <c r="C7" s="8">
        <f>'Yearly Macro'!D13</f>
        <v/>
      </c>
      <c r="D7" s="7">
        <f>'Yearly Macro'!E13</f>
        <v/>
      </c>
      <c r="E7" s="8">
        <f>'Yearly Macro'!F13</f>
        <v/>
      </c>
      <c r="F7" s="8">
        <f>'Yearly Macro'!G13</f>
        <v/>
      </c>
      <c r="G7" s="9" t="inlineStr">
        <is>
          <t>FY25 stabilization year.</t>
        </is>
      </c>
      <c r="H7" s="10" t="inlineStr">
        <is>
          <t>https://www.finance.gov.pk/dpco/annual_debt_review_2025.pdf</t>
        </is>
      </c>
      <c r="J7" s="11" t="inlineStr">
        <is>
          <t>Debt Increase (PKR bn)</t>
        </is>
      </c>
      <c r="K7" s="14">
        <f>D7-D5</f>
        <v/>
      </c>
    </row>
    <row r="8">
      <c r="J8" s="11" t="inlineStr">
        <is>
          <t>Start Debt/GDP (%)</t>
        </is>
      </c>
      <c r="K8" s="26">
        <f>E5</f>
        <v/>
      </c>
    </row>
    <row r="9">
      <c r="J9" s="11" t="inlineStr">
        <is>
          <t>End Debt/GDP (%)</t>
        </is>
      </c>
      <c r="K9" s="26">
        <f>E7</f>
        <v/>
      </c>
    </row>
    <row r="10">
      <c r="J10" s="11" t="inlineStr">
        <is>
          <t>Years covered</t>
        </is>
      </c>
      <c r="K10" s="26">
        <f>ROWS(A5:A7)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2026-03-19T08:26:47Z</dcterms:created>
  <dcterms:modified xmlns:dcterms="http://purl.org/dc/terms/" xmlns:xsi="http://www.w3.org/2001/XMLSchema-instance" xsi:type="dcterms:W3CDTF">2026-03-19T08:53:02Z</dcterms:modified>
</cp:coreProperties>
</file>